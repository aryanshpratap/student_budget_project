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nsactions" sheetId="2" state="visible" r:id="rId2"/>
    <sheet name="Budget" sheetId="3" state="visible" r:id="rId3"/>
    <sheet name="Monthly Summary" sheetId="4" state="visible" r:id="rId4"/>
    <sheet name="Budget vs Actu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yy"/>
    <numFmt numFmtId="166" formatCode="&quot;Rs.&quot;#,##0;(&quot;Rs.&quot;#,##0);&quot;-&quot;"/>
    <numFmt numFmtId="167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b val="1"/>
    </font>
    <font>
      <name val="Arial"/>
      <b val="1"/>
      <color rgb="001F3864"/>
      <sz val="16"/>
    </font>
    <font>
      <name val="Arial"/>
      <b val="1"/>
      <sz val="10"/>
    </font>
    <font>
      <name val="Arial"/>
      <b val="1"/>
      <color rgb="001F3864"/>
      <sz val="1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6" fontId="6" fillId="0" borderId="0" pivotButton="0" quotePrefix="0" xfId="0"/>
    <xf numFmtId="167" fontId="6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166" fontId="2" fillId="0" borderId="0" pivotButton="0" quotePrefix="0" xfId="0"/>
    <xf numFmtId="0" fontId="3" fillId="0" borderId="0" pivotButton="0" quotePrefix="0" xfId="0"/>
    <xf numFmtId="166" fontId="3" fillId="0" borderId="0" pivotButton="0" quotePrefix="0" xfId="0"/>
    <xf numFmtId="167" fontId="0" fillId="0" borderId="0" pivotButton="0" quotePrefix="0" xfId="0"/>
    <xf numFmtId="167" fontId="3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D7DA"/>
        </patternFill>
      </fill>
    </dxf>
    <dxf>
      <fill>
        <patternFill patternType="solid">
          <fgColor rgb="00FFF3CD"/>
        </patternFill>
      </fill>
    </dxf>
    <dxf>
      <fill>
        <patternFill patternType="solid">
          <f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Income, Expense &amp; Net Savings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Summary'!$A$2:$A$13</f>
            </numRef>
          </cat>
          <val>
            <numRef>
              <f>'Monthly Summary'!$C$2:$C$13</f>
            </numRef>
          </val>
        </ser>
        <ser>
          <idx val="1"/>
          <order val="1"/>
          <tx>
            <strRef>
              <f>'Monthly Summary'!D1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Summary'!$A$2:$A$13</f>
            </numRef>
          </cat>
          <val>
            <numRef>
              <f>'Monthly Summary'!$D$2:$D$13</f>
            </numRef>
          </val>
        </ser>
        <ser>
          <idx val="2"/>
          <order val="2"/>
          <tx>
            <strRef>
              <f>'Monthly Summary'!E1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Summary'!$A$2:$A$13</f>
            </numRef>
          </cat>
          <val>
            <numRef>
              <f>'Monthly Summary'!$E$2:$E$13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(Rs.)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Spending by Category (Actual)</a:t>
            </a:r>
          </a:p>
        </rich>
      </tx>
    </title>
    <plotArea>
      <pieChart>
        <varyColors val="1"/>
        <ser>
          <idx val="0"/>
          <order val="0"/>
          <tx>
            <strRef>
              <f>'Budget vs Actual'!C1</f>
            </strRef>
          </tx>
          <spPr>
            <a:ln>
              <a:prstDash val="solid"/>
            </a:ln>
          </spPr>
          <cat>
            <numRef>
              <f>'Budget vs Actual'!$A$2:$A$11</f>
            </numRef>
          </cat>
          <val>
            <numRef>
              <f>'Budget vs Actual'!$C$2:$C$11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vs Actual Spending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 vs Actual'!B1</f>
            </strRef>
          </tx>
          <spPr>
            <a:ln>
              <a:prstDash val="solid"/>
            </a:ln>
          </spPr>
          <cat>
            <numRef>
              <f>'Budget vs Actual'!$A$2:$A$11</f>
            </numRef>
          </cat>
          <val>
            <numRef>
              <f>'Budget vs Actual'!$B$2:$B$11</f>
            </numRef>
          </val>
        </ser>
        <ser>
          <idx val="1"/>
          <order val="1"/>
          <tx>
            <strRef>
              <f>'Budget vs Actual'!C1</f>
            </strRef>
          </tx>
          <spPr>
            <a:ln>
              <a:prstDash val="solid"/>
            </a:ln>
          </spPr>
          <cat>
            <numRef>
              <f>'Budget vs Actual'!$A$2:$A$11</f>
            </numRef>
          </cat>
          <val>
            <numRef>
              <f>'Budget vs Actual'!$C$2:$C$11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(Rs.)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21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5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STUDENT BUDGET DASHBOARD - 2025</t>
        </is>
      </c>
    </row>
    <row r="3">
      <c r="A3" s="2" t="inlineStr">
        <is>
          <t>Total Income</t>
        </is>
      </c>
      <c r="C3" s="2" t="inlineStr">
        <is>
          <t>Total Expense</t>
        </is>
      </c>
      <c r="E3" s="2" t="inlineStr">
        <is>
          <t>Net Savings</t>
        </is>
      </c>
      <c r="G3" s="2" t="inlineStr">
        <is>
          <t>Avg Savings Rate</t>
        </is>
      </c>
    </row>
    <row r="4">
      <c r="A4" s="3">
        <f>'Monthly Summary'!C14</f>
        <v/>
      </c>
      <c r="C4" s="3">
        <f>'Monthly Summary'!D14</f>
        <v/>
      </c>
      <c r="E4" s="3">
        <f>'Monthly Summary'!E14</f>
        <v/>
      </c>
      <c r="G4" s="4">
        <f>'Monthly Summary'!F14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26" customWidth="1" min="4" max="4"/>
    <col width="11" customWidth="1" min="5" max="5"/>
    <col width="13" customWidth="1" min="6" max="6"/>
    <col width="7" customWidth="1" min="7" max="7"/>
    <col width="10" customWidth="1" min="8" max="8"/>
  </cols>
  <sheetData>
    <row r="1">
      <c r="A1" s="5" t="inlineStr">
        <is>
          <t>Date</t>
        </is>
      </c>
      <c r="B1" s="5" t="inlineStr">
        <is>
          <t>Type</t>
        </is>
      </c>
      <c r="C1" s="5" t="inlineStr">
        <is>
          <t>Category</t>
        </is>
      </c>
      <c r="D1" s="5" t="inlineStr">
        <is>
          <t>Description</t>
        </is>
      </c>
      <c r="E1" s="5" t="inlineStr">
        <is>
          <t>Amount</t>
        </is>
      </c>
      <c r="F1" s="5" t="inlineStr">
        <is>
          <t>Payment Mode</t>
        </is>
      </c>
      <c r="G1" s="5" t="inlineStr">
        <is>
          <t>Month</t>
        </is>
      </c>
      <c r="H1" s="5" t="inlineStr">
        <is>
          <t>Month Name</t>
        </is>
      </c>
    </row>
    <row r="2">
      <c r="A2" s="6" t="n">
        <v>45993</v>
      </c>
      <c r="B2" t="inlineStr">
        <is>
          <t>Expense</t>
        </is>
      </c>
      <c r="C2" t="inlineStr">
        <is>
          <t>Entertainment</t>
        </is>
      </c>
      <c r="D2" t="inlineStr">
        <is>
          <t>Event Ticket</t>
        </is>
      </c>
      <c r="E2" s="7" t="n">
        <v>549.54</v>
      </c>
      <c r="F2" t="inlineStr">
        <is>
          <t>UPI</t>
        </is>
      </c>
      <c r="G2">
        <f>MONTH(A2)</f>
        <v/>
      </c>
      <c r="H2">
        <f>TEXT(A2,"mmm")</f>
        <v/>
      </c>
    </row>
    <row r="3">
      <c r="A3" s="6" t="n">
        <v>45970</v>
      </c>
      <c r="B3" t="inlineStr">
        <is>
          <t>Expense</t>
        </is>
      </c>
      <c r="C3" t="inlineStr">
        <is>
          <t>Food &amp; Snacks</t>
        </is>
      </c>
      <c r="D3" t="inlineStr">
        <is>
          <t>Canteen</t>
        </is>
      </c>
      <c r="E3" s="7" t="n">
        <v>126.02</v>
      </c>
      <c r="F3" t="inlineStr">
        <is>
          <t>UPI</t>
        </is>
      </c>
      <c r="G3">
        <f>MONTH(A3)</f>
        <v/>
      </c>
      <c r="H3">
        <f>TEXT(A3,"mmm")</f>
        <v/>
      </c>
    </row>
    <row r="4">
      <c r="A4" s="6" t="n">
        <v>45907</v>
      </c>
      <c r="B4" t="inlineStr">
        <is>
          <t>Expense</t>
        </is>
      </c>
      <c r="C4" t="inlineStr">
        <is>
          <t>Entertainment</t>
        </is>
      </c>
      <c r="D4" t="inlineStr">
        <is>
          <t>Movie Ticket</t>
        </is>
      </c>
      <c r="E4" s="7" t="n">
        <v>175.44</v>
      </c>
      <c r="F4" t="inlineStr">
        <is>
          <t>Cash</t>
        </is>
      </c>
      <c r="G4">
        <f>MONTH(A4)</f>
        <v/>
      </c>
      <c r="H4">
        <f>TEXT(A4,"mmm")</f>
        <v/>
      </c>
    </row>
    <row r="5">
      <c r="A5" s="6" t="n">
        <v>45756</v>
      </c>
      <c r="B5" t="inlineStr">
        <is>
          <t>Expense</t>
        </is>
      </c>
      <c r="C5" t="inlineStr">
        <is>
          <t>Entertainment</t>
        </is>
      </c>
      <c r="D5" t="inlineStr">
        <is>
          <t>Movie Ticket</t>
        </is>
      </c>
      <c r="E5" s="7" t="n">
        <v>344.18</v>
      </c>
      <c r="F5" t="inlineStr">
        <is>
          <t>UPI</t>
        </is>
      </c>
      <c r="G5">
        <f>MONTH(A5)</f>
        <v/>
      </c>
      <c r="H5">
        <f>TEXT(A5,"mmm")</f>
        <v/>
      </c>
    </row>
    <row r="6">
      <c r="A6" s="6" t="n">
        <v>46010</v>
      </c>
      <c r="B6" t="inlineStr">
        <is>
          <t>Expense</t>
        </is>
      </c>
      <c r="C6" t="inlineStr">
        <is>
          <t>Savings</t>
        </is>
      </c>
      <c r="D6" t="inlineStr">
        <is>
          <t>Transfer to Savings Account</t>
        </is>
      </c>
      <c r="E6" s="7" t="n">
        <v>640.73</v>
      </c>
      <c r="F6" t="inlineStr">
        <is>
          <t>Cash</t>
        </is>
      </c>
      <c r="G6">
        <f>MONTH(A6)</f>
        <v/>
      </c>
      <c r="H6">
        <f>TEXT(A6,"mmm")</f>
        <v/>
      </c>
    </row>
    <row r="7">
      <c r="A7" s="6" t="n">
        <v>45805</v>
      </c>
      <c r="B7" t="inlineStr">
        <is>
          <t>Expense</t>
        </is>
      </c>
      <c r="C7" t="inlineStr">
        <is>
          <t>Food &amp; Snacks</t>
        </is>
      </c>
      <c r="D7" t="inlineStr">
        <is>
          <t>Restaurant</t>
        </is>
      </c>
      <c r="E7" s="7" t="n">
        <v>71.94</v>
      </c>
      <c r="F7" t="inlineStr">
        <is>
          <t>Net Banking</t>
        </is>
      </c>
      <c r="G7">
        <f>MONTH(A7)</f>
        <v/>
      </c>
      <c r="H7">
        <f>TEXT(A7,"mmm")</f>
        <v/>
      </c>
    </row>
    <row r="8">
      <c r="A8" s="6" t="n">
        <v>45989</v>
      </c>
      <c r="B8" t="inlineStr">
        <is>
          <t>Expense</t>
        </is>
      </c>
      <c r="C8" t="inlineStr">
        <is>
          <t>Education</t>
        </is>
      </c>
      <c r="D8" t="inlineStr">
        <is>
          <t>Stationery</t>
        </is>
      </c>
      <c r="E8" s="7" t="n">
        <v>788.39</v>
      </c>
      <c r="F8" t="inlineStr">
        <is>
          <t>UPI</t>
        </is>
      </c>
      <c r="G8">
        <f>MONTH(A8)</f>
        <v/>
      </c>
      <c r="H8">
        <f>TEXT(A8,"mmm")</f>
        <v/>
      </c>
    </row>
    <row r="9">
      <c r="A9" s="6" t="n">
        <v>45665</v>
      </c>
      <c r="B9" t="inlineStr">
        <is>
          <t>Expense</t>
        </is>
      </c>
      <c r="C9" t="inlineStr">
        <is>
          <t>Food &amp; Snacks</t>
        </is>
      </c>
      <c r="D9" t="inlineStr">
        <is>
          <t>Tea/Snacks</t>
        </is>
      </c>
      <c r="E9" s="7" t="n">
        <v>126.19</v>
      </c>
      <c r="F9" t="inlineStr">
        <is>
          <t>Cash</t>
        </is>
      </c>
      <c r="G9">
        <f>MONTH(A9)</f>
        <v/>
      </c>
      <c r="H9">
        <f>TEXT(A9,"mmm")</f>
        <v/>
      </c>
    </row>
    <row r="10">
      <c r="A10" s="6" t="n">
        <v>45967</v>
      </c>
      <c r="B10" t="inlineStr">
        <is>
          <t>Expense</t>
        </is>
      </c>
      <c r="C10" t="inlineStr">
        <is>
          <t>Subscriptions</t>
        </is>
      </c>
      <c r="D10" t="inlineStr">
        <is>
          <t>Netflix/OTT Share</t>
        </is>
      </c>
      <c r="E10" s="7" t="n">
        <v>274.56</v>
      </c>
      <c r="F10" t="inlineStr">
        <is>
          <t>Cash</t>
        </is>
      </c>
      <c r="G10">
        <f>MONTH(A10)</f>
        <v/>
      </c>
      <c r="H10">
        <f>TEXT(A10,"mmm")</f>
        <v/>
      </c>
    </row>
    <row r="11">
      <c r="A11" s="6" t="n">
        <v>45674</v>
      </c>
      <c r="B11" t="inlineStr">
        <is>
          <t>Expense</t>
        </is>
      </c>
      <c r="C11" t="inlineStr">
        <is>
          <t>Food &amp; Snacks</t>
        </is>
      </c>
      <c r="D11" t="inlineStr">
        <is>
          <t>Grocery</t>
        </is>
      </c>
      <c r="E11" s="7" t="n">
        <v>90.97</v>
      </c>
      <c r="F11" t="inlineStr">
        <is>
          <t>Cash</t>
        </is>
      </c>
      <c r="G11">
        <f>MONTH(A11)</f>
        <v/>
      </c>
      <c r="H11">
        <f>TEXT(A11,"mmm")</f>
        <v/>
      </c>
    </row>
    <row r="12">
      <c r="A12" s="6" t="n">
        <v>46003</v>
      </c>
      <c r="B12" t="inlineStr">
        <is>
          <t>Expense</t>
        </is>
      </c>
      <c r="C12" t="inlineStr">
        <is>
          <t>Subscriptions</t>
        </is>
      </c>
      <c r="D12" t="inlineStr">
        <is>
          <t>Spotify Premium</t>
        </is>
      </c>
      <c r="E12" s="7" t="n">
        <v>275.72</v>
      </c>
      <c r="F12" t="inlineStr">
        <is>
          <t>UPI</t>
        </is>
      </c>
      <c r="G12">
        <f>MONTH(A12)</f>
        <v/>
      </c>
      <c r="H12">
        <f>TEXT(A12,"mmm")</f>
        <v/>
      </c>
    </row>
    <row r="13">
      <c r="A13" s="6" t="n">
        <v>45830</v>
      </c>
      <c r="B13" t="inlineStr">
        <is>
          <t>Expense</t>
        </is>
      </c>
      <c r="C13" t="inlineStr">
        <is>
          <t>Food &amp; Snacks</t>
        </is>
      </c>
      <c r="D13" t="inlineStr">
        <is>
          <t>Tiffin</t>
        </is>
      </c>
      <c r="E13" s="7" t="n">
        <v>239.55</v>
      </c>
      <c r="F13" t="inlineStr">
        <is>
          <t>Cash</t>
        </is>
      </c>
      <c r="G13">
        <f>MONTH(A13)</f>
        <v/>
      </c>
      <c r="H13">
        <f>TEXT(A13,"mmm")</f>
        <v/>
      </c>
    </row>
    <row r="14">
      <c r="A14" s="6" t="n">
        <v>45812</v>
      </c>
      <c r="B14" t="inlineStr">
        <is>
          <t>Expense</t>
        </is>
      </c>
      <c r="C14" t="inlineStr">
        <is>
          <t>Education</t>
        </is>
      </c>
      <c r="D14" t="inlineStr">
        <is>
          <t>Printouts/Xerox</t>
        </is>
      </c>
      <c r="E14" s="7" t="n">
        <v>93.53</v>
      </c>
      <c r="F14" t="inlineStr">
        <is>
          <t>Cash</t>
        </is>
      </c>
      <c r="G14">
        <f>MONTH(A14)</f>
        <v/>
      </c>
      <c r="H14">
        <f>TEXT(A14,"mmm")</f>
        <v/>
      </c>
    </row>
    <row r="15">
      <c r="A15" s="6" t="n">
        <v>45679</v>
      </c>
      <c r="B15" t="inlineStr">
        <is>
          <t>Expense</t>
        </is>
      </c>
      <c r="C15" t="inlineStr">
        <is>
          <t>Transportation</t>
        </is>
      </c>
      <c r="D15" t="inlineStr">
        <is>
          <t>Fuel</t>
        </is>
      </c>
      <c r="E15" s="7" t="n">
        <v>58.87</v>
      </c>
      <c r="F15" t="inlineStr">
        <is>
          <t>Cash</t>
        </is>
      </c>
      <c r="G15">
        <f>MONTH(A15)</f>
        <v/>
      </c>
      <c r="H15">
        <f>TEXT(A15,"mmm")</f>
        <v/>
      </c>
    </row>
    <row r="16">
      <c r="A16" s="6" t="n">
        <v>45790</v>
      </c>
      <c r="B16" t="inlineStr">
        <is>
          <t>Expense</t>
        </is>
      </c>
      <c r="C16" t="inlineStr">
        <is>
          <t>Transportation</t>
        </is>
      </c>
      <c r="D16" t="inlineStr">
        <is>
          <t>Bus Fare</t>
        </is>
      </c>
      <c r="E16" s="7" t="n">
        <v>66.83</v>
      </c>
      <c r="F16" t="inlineStr">
        <is>
          <t>UPI</t>
        </is>
      </c>
      <c r="G16">
        <f>MONTH(A16)</f>
        <v/>
      </c>
      <c r="H16">
        <f>TEXT(A16,"mmm")</f>
        <v/>
      </c>
    </row>
    <row r="17">
      <c r="A17" s="6" t="n">
        <v>45925</v>
      </c>
      <c r="B17" t="inlineStr">
        <is>
          <t>Expense</t>
        </is>
      </c>
      <c r="C17" t="inlineStr">
        <is>
          <t>Savings</t>
        </is>
      </c>
      <c r="D17" t="inlineStr">
        <is>
          <t>Transfer to Savings Account</t>
        </is>
      </c>
      <c r="E17" s="7" t="n">
        <v>1958.23</v>
      </c>
      <c r="F17" t="inlineStr">
        <is>
          <t>UPI</t>
        </is>
      </c>
      <c r="G17">
        <f>MONTH(A17)</f>
        <v/>
      </c>
      <c r="H17">
        <f>TEXT(A17,"mmm")</f>
        <v/>
      </c>
    </row>
    <row r="18">
      <c r="A18" s="6" t="n">
        <v>45745</v>
      </c>
      <c r="B18" t="inlineStr">
        <is>
          <t>Expense</t>
        </is>
      </c>
      <c r="C18" t="inlineStr">
        <is>
          <t>Entertainment</t>
        </is>
      </c>
      <c r="D18" t="inlineStr">
        <is>
          <t>Movie Ticket</t>
        </is>
      </c>
      <c r="E18" s="7" t="n">
        <v>258.02</v>
      </c>
      <c r="F18" t="inlineStr">
        <is>
          <t>UPI</t>
        </is>
      </c>
      <c r="G18">
        <f>MONTH(A18)</f>
        <v/>
      </c>
      <c r="H18">
        <f>TEXT(A18,"mmm")</f>
        <v/>
      </c>
    </row>
    <row r="19">
      <c r="A19" s="6" t="n">
        <v>45779</v>
      </c>
      <c r="B19" t="inlineStr">
        <is>
          <t>Expense</t>
        </is>
      </c>
      <c r="C19" t="inlineStr">
        <is>
          <t>Entertainment</t>
        </is>
      </c>
      <c r="D19" t="inlineStr">
        <is>
          <t>Movie Ticket</t>
        </is>
      </c>
      <c r="E19" s="7" t="n">
        <v>497.5</v>
      </c>
      <c r="F19" t="inlineStr">
        <is>
          <t>UPI</t>
        </is>
      </c>
      <c r="G19">
        <f>MONTH(A19)</f>
        <v/>
      </c>
      <c r="H19">
        <f>TEXT(A19,"mmm")</f>
        <v/>
      </c>
    </row>
    <row r="20">
      <c r="A20" s="6" t="n">
        <v>45930</v>
      </c>
      <c r="B20" t="inlineStr">
        <is>
          <t>Expense</t>
        </is>
      </c>
      <c r="C20" t="inlineStr">
        <is>
          <t>Food &amp; Snacks</t>
        </is>
      </c>
      <c r="D20" t="inlineStr">
        <is>
          <t>Canteen</t>
        </is>
      </c>
      <c r="E20" s="7" t="n">
        <v>192.7</v>
      </c>
      <c r="F20" t="inlineStr">
        <is>
          <t>UPI</t>
        </is>
      </c>
      <c r="G20">
        <f>MONTH(A20)</f>
        <v/>
      </c>
      <c r="H20">
        <f>TEXT(A20,"mmm")</f>
        <v/>
      </c>
    </row>
    <row r="21">
      <c r="A21" s="6" t="n">
        <v>45778</v>
      </c>
      <c r="B21" t="inlineStr">
        <is>
          <t>Expense</t>
        </is>
      </c>
      <c r="C21" t="inlineStr">
        <is>
          <t>Food &amp; Snacks</t>
        </is>
      </c>
      <c r="D21" t="inlineStr">
        <is>
          <t>Mess Bill</t>
        </is>
      </c>
      <c r="E21" s="7" t="n">
        <v>180.33</v>
      </c>
      <c r="F21" t="inlineStr">
        <is>
          <t>UPI</t>
        </is>
      </c>
      <c r="G21">
        <f>MONTH(A21)</f>
        <v/>
      </c>
      <c r="H21">
        <f>TEXT(A21,"mmm")</f>
        <v/>
      </c>
    </row>
    <row r="22">
      <c r="A22" s="6" t="n">
        <v>45662</v>
      </c>
      <c r="B22" t="inlineStr">
        <is>
          <t>Expense</t>
        </is>
      </c>
      <c r="C22" t="inlineStr">
        <is>
          <t>Entertainment</t>
        </is>
      </c>
      <c r="D22" t="inlineStr">
        <is>
          <t>OTT Rental</t>
        </is>
      </c>
      <c r="E22" s="7" t="n">
        <v>429.37</v>
      </c>
      <c r="F22" t="inlineStr">
        <is>
          <t>UPI</t>
        </is>
      </c>
      <c r="G22">
        <f>MONTH(A22)</f>
        <v/>
      </c>
      <c r="H22">
        <f>TEXT(A22,"mmm")</f>
        <v/>
      </c>
    </row>
    <row r="23">
      <c r="A23" s="6" t="n">
        <v>45798</v>
      </c>
      <c r="B23" t="inlineStr">
        <is>
          <t>Expense</t>
        </is>
      </c>
      <c r="C23" t="inlineStr">
        <is>
          <t>Entertainment</t>
        </is>
      </c>
      <c r="D23" t="inlineStr">
        <is>
          <t>OTT Rental</t>
        </is>
      </c>
      <c r="E23" s="7" t="n">
        <v>161.92</v>
      </c>
      <c r="F23" t="inlineStr">
        <is>
          <t>UPI</t>
        </is>
      </c>
      <c r="G23">
        <f>MONTH(A23)</f>
        <v/>
      </c>
      <c r="H23">
        <f>TEXT(A23,"mmm")</f>
        <v/>
      </c>
    </row>
    <row r="24">
      <c r="A24" s="6" t="n">
        <v>45831</v>
      </c>
      <c r="B24" t="inlineStr">
        <is>
          <t>Expense</t>
        </is>
      </c>
      <c r="C24" t="inlineStr">
        <is>
          <t>Food &amp; Snacks</t>
        </is>
      </c>
      <c r="D24" t="inlineStr">
        <is>
          <t>Mess Bill</t>
        </is>
      </c>
      <c r="E24" s="7" t="n">
        <v>165.72</v>
      </c>
      <c r="F24" t="inlineStr">
        <is>
          <t>UPI</t>
        </is>
      </c>
      <c r="G24">
        <f>MONTH(A24)</f>
        <v/>
      </c>
      <c r="H24">
        <f>TEXT(A24,"mmm")</f>
        <v/>
      </c>
    </row>
    <row r="25">
      <c r="A25" s="6" t="n">
        <v>45707</v>
      </c>
      <c r="B25" t="inlineStr">
        <is>
          <t>Expense</t>
        </is>
      </c>
      <c r="C25" t="inlineStr">
        <is>
          <t>Food &amp; Snacks</t>
        </is>
      </c>
      <c r="D25" t="inlineStr">
        <is>
          <t>Canteen</t>
        </is>
      </c>
      <c r="E25" s="7" t="n">
        <v>219.07</v>
      </c>
      <c r="F25" t="inlineStr">
        <is>
          <t>UPI</t>
        </is>
      </c>
      <c r="G25">
        <f>MONTH(A25)</f>
        <v/>
      </c>
      <c r="H25">
        <f>TEXT(A25,"mmm")</f>
        <v/>
      </c>
    </row>
    <row r="26">
      <c r="A26" s="6" t="n">
        <v>45709</v>
      </c>
      <c r="B26" t="inlineStr">
        <is>
          <t>Expense</t>
        </is>
      </c>
      <c r="C26" t="inlineStr">
        <is>
          <t>Food &amp; Snacks</t>
        </is>
      </c>
      <c r="D26" t="inlineStr">
        <is>
          <t>Restaurant</t>
        </is>
      </c>
      <c r="E26" s="7" t="n">
        <v>211.57</v>
      </c>
      <c r="F26" t="inlineStr">
        <is>
          <t>UPI</t>
        </is>
      </c>
      <c r="G26">
        <f>MONTH(A26)</f>
        <v/>
      </c>
      <c r="H26">
        <f>TEXT(A26,"mmm")</f>
        <v/>
      </c>
    </row>
    <row r="27">
      <c r="A27" s="6" t="n">
        <v>45728</v>
      </c>
      <c r="B27" t="inlineStr">
        <is>
          <t>Expense</t>
        </is>
      </c>
      <c r="C27" t="inlineStr">
        <is>
          <t>Subscriptions</t>
        </is>
      </c>
      <c r="D27" t="inlineStr">
        <is>
          <t>Netflix/OTT Share</t>
        </is>
      </c>
      <c r="E27" s="7" t="n">
        <v>289.33</v>
      </c>
      <c r="F27" t="inlineStr">
        <is>
          <t>Cash</t>
        </is>
      </c>
      <c r="G27">
        <f>MONTH(A27)</f>
        <v/>
      </c>
      <c r="H27">
        <f>TEXT(A27,"mmm")</f>
        <v/>
      </c>
    </row>
    <row r="28">
      <c r="A28" s="6" t="n">
        <v>45738</v>
      </c>
      <c r="B28" t="inlineStr">
        <is>
          <t>Expense</t>
        </is>
      </c>
      <c r="C28" t="inlineStr">
        <is>
          <t>Entertainment</t>
        </is>
      </c>
      <c r="D28" t="inlineStr">
        <is>
          <t>Movie Ticket</t>
        </is>
      </c>
      <c r="E28" s="7" t="n">
        <v>553.84</v>
      </c>
      <c r="F28" t="inlineStr">
        <is>
          <t>UPI</t>
        </is>
      </c>
      <c r="G28">
        <f>MONTH(A28)</f>
        <v/>
      </c>
      <c r="H28">
        <f>TEXT(A28,"mmm")</f>
        <v/>
      </c>
    </row>
    <row r="29">
      <c r="A29" s="6" t="n">
        <v>45951</v>
      </c>
      <c r="B29" t="inlineStr">
        <is>
          <t>Expense</t>
        </is>
      </c>
      <c r="C29" t="inlineStr">
        <is>
          <t>Food &amp; Snacks</t>
        </is>
      </c>
      <c r="D29" t="inlineStr">
        <is>
          <t>Grocery</t>
        </is>
      </c>
      <c r="E29" s="7" t="n">
        <v>164.6</v>
      </c>
      <c r="F29" t="inlineStr">
        <is>
          <t>Net Banking</t>
        </is>
      </c>
      <c r="G29">
        <f>MONTH(A29)</f>
        <v/>
      </c>
      <c r="H29">
        <f>TEXT(A29,"mmm")</f>
        <v/>
      </c>
    </row>
    <row r="30">
      <c r="A30" s="6" t="n">
        <v>45698</v>
      </c>
      <c r="B30" t="inlineStr">
        <is>
          <t>Expense</t>
        </is>
      </c>
      <c r="C30" t="inlineStr">
        <is>
          <t>Food &amp; Snacks</t>
        </is>
      </c>
      <c r="D30" t="inlineStr">
        <is>
          <t>Canteen</t>
        </is>
      </c>
      <c r="E30" s="7" t="n">
        <v>115.52</v>
      </c>
      <c r="F30" t="inlineStr">
        <is>
          <t>UPI</t>
        </is>
      </c>
      <c r="G30">
        <f>MONTH(A30)</f>
        <v/>
      </c>
      <c r="H30">
        <f>TEXT(A30,"mmm")</f>
        <v/>
      </c>
    </row>
    <row r="31">
      <c r="A31" s="6" t="n">
        <v>45668</v>
      </c>
      <c r="B31" t="inlineStr">
        <is>
          <t>Expense</t>
        </is>
      </c>
      <c r="C31" t="inlineStr">
        <is>
          <t>Food &amp; Snacks</t>
        </is>
      </c>
      <c r="D31" t="inlineStr">
        <is>
          <t>Restaurant</t>
        </is>
      </c>
      <c r="E31" s="7" t="n">
        <v>103.69</v>
      </c>
      <c r="F31" t="inlineStr">
        <is>
          <t>Card</t>
        </is>
      </c>
      <c r="G31">
        <f>MONTH(A31)</f>
        <v/>
      </c>
      <c r="H31">
        <f>TEXT(A31,"mmm")</f>
        <v/>
      </c>
    </row>
    <row r="32">
      <c r="A32" s="6" t="n">
        <v>45810</v>
      </c>
      <c r="B32" t="inlineStr">
        <is>
          <t>Expense</t>
        </is>
      </c>
      <c r="C32" t="inlineStr">
        <is>
          <t>Clothing</t>
        </is>
      </c>
      <c r="D32" t="inlineStr">
        <is>
          <t>Festive Shopping</t>
        </is>
      </c>
      <c r="E32" s="7" t="n">
        <v>866.39</v>
      </c>
      <c r="F32" t="inlineStr">
        <is>
          <t>UPI</t>
        </is>
      </c>
      <c r="G32">
        <f>MONTH(A32)</f>
        <v/>
      </c>
      <c r="H32">
        <f>TEXT(A32,"mmm")</f>
        <v/>
      </c>
    </row>
    <row r="33">
      <c r="A33" s="6" t="n">
        <v>45825</v>
      </c>
      <c r="B33" t="inlineStr">
        <is>
          <t>Expense</t>
        </is>
      </c>
      <c r="C33" t="inlineStr">
        <is>
          <t>Food &amp; Snacks</t>
        </is>
      </c>
      <c r="D33" t="inlineStr">
        <is>
          <t>Grocery</t>
        </is>
      </c>
      <c r="E33" s="7" t="n">
        <v>80.42</v>
      </c>
      <c r="F33" t="inlineStr">
        <is>
          <t>UPI</t>
        </is>
      </c>
      <c r="G33">
        <f>MONTH(A33)</f>
        <v/>
      </c>
      <c r="H33">
        <f>TEXT(A33,"mmm")</f>
        <v/>
      </c>
    </row>
    <row r="34">
      <c r="A34" s="6" t="n">
        <v>45961</v>
      </c>
      <c r="B34" t="inlineStr">
        <is>
          <t>Expense</t>
        </is>
      </c>
      <c r="C34" t="inlineStr">
        <is>
          <t>Entertainment</t>
        </is>
      </c>
      <c r="D34" t="inlineStr">
        <is>
          <t>Outing with Friends</t>
        </is>
      </c>
      <c r="E34" s="7" t="n">
        <v>556.8200000000001</v>
      </c>
      <c r="F34" t="inlineStr">
        <is>
          <t>Cash</t>
        </is>
      </c>
      <c r="G34">
        <f>MONTH(A34)</f>
        <v/>
      </c>
      <c r="H34">
        <f>TEXT(A34,"mmm")</f>
        <v/>
      </c>
    </row>
    <row r="35">
      <c r="A35" s="6" t="n">
        <v>45906</v>
      </c>
      <c r="B35" t="inlineStr">
        <is>
          <t>Expense</t>
        </is>
      </c>
      <c r="C35" t="inlineStr">
        <is>
          <t>Food &amp; Snacks</t>
        </is>
      </c>
      <c r="D35" t="inlineStr">
        <is>
          <t>Grocery</t>
        </is>
      </c>
      <c r="E35" s="7" t="n">
        <v>168.24</v>
      </c>
      <c r="F35" t="inlineStr">
        <is>
          <t>Cash</t>
        </is>
      </c>
      <c r="G35">
        <f>MONTH(A35)</f>
        <v/>
      </c>
      <c r="H35">
        <f>TEXT(A35,"mmm")</f>
        <v/>
      </c>
    </row>
    <row r="36">
      <c r="A36" s="6" t="n">
        <v>45704</v>
      </c>
      <c r="B36" t="inlineStr">
        <is>
          <t>Expense</t>
        </is>
      </c>
      <c r="C36" t="inlineStr">
        <is>
          <t>Transportation</t>
        </is>
      </c>
      <c r="D36" t="inlineStr">
        <is>
          <t>Metro Card Recharge</t>
        </is>
      </c>
      <c r="E36" s="7" t="n">
        <v>36.55</v>
      </c>
      <c r="F36" t="inlineStr">
        <is>
          <t>Card</t>
        </is>
      </c>
      <c r="G36">
        <f>MONTH(A36)</f>
        <v/>
      </c>
      <c r="H36">
        <f>TEXT(A36,"mmm")</f>
        <v/>
      </c>
    </row>
    <row r="37">
      <c r="A37" s="6" t="n">
        <v>45848</v>
      </c>
      <c r="B37" t="inlineStr">
        <is>
          <t>Expense</t>
        </is>
      </c>
      <c r="C37" t="inlineStr">
        <is>
          <t>Transportation</t>
        </is>
      </c>
      <c r="D37" t="inlineStr">
        <is>
          <t>Auto/Rickshaw</t>
        </is>
      </c>
      <c r="E37" s="7" t="n">
        <v>54.77</v>
      </c>
      <c r="F37" t="inlineStr">
        <is>
          <t>Cash</t>
        </is>
      </c>
      <c r="G37">
        <f>MONTH(A37)</f>
        <v/>
      </c>
      <c r="H37">
        <f>TEXT(A37,"mmm")</f>
        <v/>
      </c>
    </row>
    <row r="38">
      <c r="A38" s="6" t="n">
        <v>45888</v>
      </c>
      <c r="B38" t="inlineStr">
        <is>
          <t>Expense</t>
        </is>
      </c>
      <c r="C38" t="inlineStr">
        <is>
          <t>Personal Care</t>
        </is>
      </c>
      <c r="D38" t="inlineStr">
        <is>
          <t>Skincare</t>
        </is>
      </c>
      <c r="E38" s="7" t="n">
        <v>288.88</v>
      </c>
      <c r="F38" t="inlineStr">
        <is>
          <t>UPI</t>
        </is>
      </c>
      <c r="G38">
        <f>MONTH(A38)</f>
        <v/>
      </c>
      <c r="H38">
        <f>TEXT(A38,"mmm")</f>
        <v/>
      </c>
    </row>
    <row r="39">
      <c r="A39" s="6" t="n">
        <v>45812</v>
      </c>
      <c r="B39" t="inlineStr">
        <is>
          <t>Expense</t>
        </is>
      </c>
      <c r="C39" t="inlineStr">
        <is>
          <t>Entertainment</t>
        </is>
      </c>
      <c r="D39" t="inlineStr">
        <is>
          <t>OTT Rental</t>
        </is>
      </c>
      <c r="E39" s="7" t="n">
        <v>355.79</v>
      </c>
      <c r="F39" t="inlineStr">
        <is>
          <t>Cash</t>
        </is>
      </c>
      <c r="G39">
        <f>MONTH(A39)</f>
        <v/>
      </c>
      <c r="H39">
        <f>TEXT(A39,"mmm")</f>
        <v/>
      </c>
    </row>
    <row r="40">
      <c r="A40" s="6" t="n">
        <v>45860</v>
      </c>
      <c r="B40" t="inlineStr">
        <is>
          <t>Expense</t>
        </is>
      </c>
      <c r="C40" t="inlineStr">
        <is>
          <t>Food &amp; Snacks</t>
        </is>
      </c>
      <c r="D40" t="inlineStr">
        <is>
          <t>Restaurant</t>
        </is>
      </c>
      <c r="E40" s="7" t="n">
        <v>154.1</v>
      </c>
      <c r="F40" t="inlineStr">
        <is>
          <t>Card</t>
        </is>
      </c>
      <c r="G40">
        <f>MONTH(A40)</f>
        <v/>
      </c>
      <c r="H40">
        <f>TEXT(A40,"mmm")</f>
        <v/>
      </c>
    </row>
    <row r="41">
      <c r="A41" s="6" t="n">
        <v>45893</v>
      </c>
      <c r="B41" t="inlineStr">
        <is>
          <t>Expense</t>
        </is>
      </c>
      <c r="C41" t="inlineStr">
        <is>
          <t>Transportation</t>
        </is>
      </c>
      <c r="D41" t="inlineStr">
        <is>
          <t>Metro Card Recharge</t>
        </is>
      </c>
      <c r="E41" s="7" t="n">
        <v>94.89</v>
      </c>
      <c r="F41" t="inlineStr">
        <is>
          <t>UPI</t>
        </is>
      </c>
      <c r="G41">
        <f>MONTH(A41)</f>
        <v/>
      </c>
      <c r="H41">
        <f>TEXT(A41,"mmm")</f>
        <v/>
      </c>
    </row>
    <row r="42">
      <c r="A42" s="6" t="n">
        <v>45911</v>
      </c>
      <c r="B42" t="inlineStr">
        <is>
          <t>Expense</t>
        </is>
      </c>
      <c r="C42" t="inlineStr">
        <is>
          <t>Transportation</t>
        </is>
      </c>
      <c r="D42" t="inlineStr">
        <is>
          <t>Fuel</t>
        </is>
      </c>
      <c r="E42" s="7" t="n">
        <v>42.39</v>
      </c>
      <c r="F42" t="inlineStr">
        <is>
          <t>UPI</t>
        </is>
      </c>
      <c r="G42">
        <f>MONTH(A42)</f>
        <v/>
      </c>
      <c r="H42">
        <f>TEXT(A42,"mmm")</f>
        <v/>
      </c>
    </row>
    <row r="43">
      <c r="A43" s="6" t="n">
        <v>45771</v>
      </c>
      <c r="B43" t="inlineStr">
        <is>
          <t>Expense</t>
        </is>
      </c>
      <c r="C43" t="inlineStr">
        <is>
          <t>Food &amp; Snacks</t>
        </is>
      </c>
      <c r="D43" t="inlineStr">
        <is>
          <t>Tea/Snacks</t>
        </is>
      </c>
      <c r="E43" s="7" t="n">
        <v>189.78</v>
      </c>
      <c r="F43" t="inlineStr">
        <is>
          <t>UPI</t>
        </is>
      </c>
      <c r="G43">
        <f>MONTH(A43)</f>
        <v/>
      </c>
      <c r="H43">
        <f>TEXT(A43,"mmm")</f>
        <v/>
      </c>
    </row>
    <row r="44">
      <c r="A44" s="6" t="n">
        <v>45746</v>
      </c>
      <c r="B44" t="inlineStr">
        <is>
          <t>Expense</t>
        </is>
      </c>
      <c r="C44" t="inlineStr">
        <is>
          <t>Savings</t>
        </is>
      </c>
      <c r="D44" t="inlineStr">
        <is>
          <t>Transfer to Savings Account</t>
        </is>
      </c>
      <c r="E44" s="7" t="n">
        <v>1864.54</v>
      </c>
      <c r="F44" t="inlineStr">
        <is>
          <t>Cash</t>
        </is>
      </c>
      <c r="G44">
        <f>MONTH(A44)</f>
        <v/>
      </c>
      <c r="H44">
        <f>TEXT(A44,"mmm")</f>
        <v/>
      </c>
    </row>
    <row r="45">
      <c r="A45" s="6" t="n">
        <v>45710</v>
      </c>
      <c r="B45" t="inlineStr">
        <is>
          <t>Expense</t>
        </is>
      </c>
      <c r="C45" t="inlineStr">
        <is>
          <t>Personal Care</t>
        </is>
      </c>
      <c r="D45" t="inlineStr">
        <is>
          <t>Haircut</t>
        </is>
      </c>
      <c r="E45" s="7" t="n">
        <v>165.57</v>
      </c>
      <c r="F45" t="inlineStr">
        <is>
          <t>UPI</t>
        </is>
      </c>
      <c r="G45">
        <f>MONTH(A45)</f>
        <v/>
      </c>
      <c r="H45">
        <f>TEXT(A45,"mmm")</f>
        <v/>
      </c>
    </row>
    <row r="46">
      <c r="A46" s="6" t="n">
        <v>45723</v>
      </c>
      <c r="B46" t="inlineStr">
        <is>
          <t>Expense</t>
        </is>
      </c>
      <c r="C46" t="inlineStr">
        <is>
          <t>Personal Care</t>
        </is>
      </c>
      <c r="D46" t="inlineStr">
        <is>
          <t>Toiletries</t>
        </is>
      </c>
      <c r="E46" s="7" t="n">
        <v>214.36</v>
      </c>
      <c r="F46" t="inlineStr">
        <is>
          <t>Cash</t>
        </is>
      </c>
      <c r="G46">
        <f>MONTH(A46)</f>
        <v/>
      </c>
      <c r="H46">
        <f>TEXT(A46,"mmm")</f>
        <v/>
      </c>
    </row>
    <row r="47">
      <c r="A47" s="6" t="n">
        <v>45950</v>
      </c>
      <c r="B47" t="inlineStr">
        <is>
          <t>Expense</t>
        </is>
      </c>
      <c r="C47" t="inlineStr">
        <is>
          <t>Food &amp; Snacks</t>
        </is>
      </c>
      <c r="D47" t="inlineStr">
        <is>
          <t>Mess Bill</t>
        </is>
      </c>
      <c r="E47" s="7" t="n">
        <v>122</v>
      </c>
      <c r="F47" t="inlineStr">
        <is>
          <t>Cash</t>
        </is>
      </c>
      <c r="G47">
        <f>MONTH(A47)</f>
        <v/>
      </c>
      <c r="H47">
        <f>TEXT(A47,"mmm")</f>
        <v/>
      </c>
    </row>
    <row r="48">
      <c r="A48" s="6" t="n">
        <v>45868</v>
      </c>
      <c r="B48" t="inlineStr">
        <is>
          <t>Expense</t>
        </is>
      </c>
      <c r="C48" t="inlineStr">
        <is>
          <t>Food &amp; Snacks</t>
        </is>
      </c>
      <c r="D48" t="inlineStr">
        <is>
          <t>Canteen</t>
        </is>
      </c>
      <c r="E48" s="7" t="n">
        <v>129.51</v>
      </c>
      <c r="F48" t="inlineStr">
        <is>
          <t>Card</t>
        </is>
      </c>
      <c r="G48">
        <f>MONTH(A48)</f>
        <v/>
      </c>
      <c r="H48">
        <f>TEXT(A48,"mmm")</f>
        <v/>
      </c>
    </row>
    <row r="49">
      <c r="A49" s="6" t="n">
        <v>45733</v>
      </c>
      <c r="B49" t="inlineStr">
        <is>
          <t>Expense</t>
        </is>
      </c>
      <c r="C49" t="inlineStr">
        <is>
          <t>Transportation</t>
        </is>
      </c>
      <c r="D49" t="inlineStr">
        <is>
          <t>Metro Card Recharge</t>
        </is>
      </c>
      <c r="E49" s="7" t="n">
        <v>37.18</v>
      </c>
      <c r="F49" t="inlineStr">
        <is>
          <t>Net Banking</t>
        </is>
      </c>
      <c r="G49">
        <f>MONTH(A49)</f>
        <v/>
      </c>
      <c r="H49">
        <f>TEXT(A49,"mmm")</f>
        <v/>
      </c>
    </row>
    <row r="50">
      <c r="A50" s="6" t="n">
        <v>45838</v>
      </c>
      <c r="B50" t="inlineStr">
        <is>
          <t>Expense</t>
        </is>
      </c>
      <c r="C50" t="inlineStr">
        <is>
          <t>Food &amp; Snacks</t>
        </is>
      </c>
      <c r="D50" t="inlineStr">
        <is>
          <t>Tea/Snacks</t>
        </is>
      </c>
      <c r="E50" s="7" t="n">
        <v>223.5</v>
      </c>
      <c r="F50" t="inlineStr">
        <is>
          <t>UPI</t>
        </is>
      </c>
      <c r="G50">
        <f>MONTH(A50)</f>
        <v/>
      </c>
      <c r="H50">
        <f>TEXT(A50,"mmm")</f>
        <v/>
      </c>
    </row>
    <row r="51">
      <c r="A51" s="6" t="n">
        <v>45793</v>
      </c>
      <c r="B51" t="inlineStr">
        <is>
          <t>Expense</t>
        </is>
      </c>
      <c r="C51" t="inlineStr">
        <is>
          <t>Entertainment</t>
        </is>
      </c>
      <c r="D51" t="inlineStr">
        <is>
          <t>Gaming</t>
        </is>
      </c>
      <c r="E51" s="7" t="n">
        <v>114.02</v>
      </c>
      <c r="F51" t="inlineStr">
        <is>
          <t>UPI</t>
        </is>
      </c>
      <c r="G51">
        <f>MONTH(A51)</f>
        <v/>
      </c>
      <c r="H51">
        <f>TEXT(A51,"mmm")</f>
        <v/>
      </c>
    </row>
    <row r="52">
      <c r="A52" s="6" t="n">
        <v>45855</v>
      </c>
      <c r="B52" t="inlineStr">
        <is>
          <t>Expense</t>
        </is>
      </c>
      <c r="C52" t="inlineStr">
        <is>
          <t>Transportation</t>
        </is>
      </c>
      <c r="D52" t="inlineStr">
        <is>
          <t>Fuel</t>
        </is>
      </c>
      <c r="E52" s="7" t="n">
        <v>59.33</v>
      </c>
      <c r="F52" t="inlineStr">
        <is>
          <t>UPI</t>
        </is>
      </c>
      <c r="G52">
        <f>MONTH(A52)</f>
        <v/>
      </c>
      <c r="H52">
        <f>TEXT(A52,"mmm")</f>
        <v/>
      </c>
    </row>
    <row r="53">
      <c r="A53" s="6" t="n">
        <v>46004</v>
      </c>
      <c r="B53" t="inlineStr">
        <is>
          <t>Expense</t>
        </is>
      </c>
      <c r="C53" t="inlineStr">
        <is>
          <t>Transportation</t>
        </is>
      </c>
      <c r="D53" t="inlineStr">
        <is>
          <t>Auto/Rickshaw</t>
        </is>
      </c>
      <c r="E53" s="7" t="n">
        <v>76.19</v>
      </c>
      <c r="F53" t="inlineStr">
        <is>
          <t>Net Banking</t>
        </is>
      </c>
      <c r="G53">
        <f>MONTH(A53)</f>
        <v/>
      </c>
      <c r="H53">
        <f>TEXT(A53,"mmm")</f>
        <v/>
      </c>
    </row>
    <row r="54">
      <c r="A54" s="6" t="n">
        <v>45707</v>
      </c>
      <c r="B54" t="inlineStr">
        <is>
          <t>Expense</t>
        </is>
      </c>
      <c r="C54" t="inlineStr">
        <is>
          <t>Food &amp; Snacks</t>
        </is>
      </c>
      <c r="D54" t="inlineStr">
        <is>
          <t>Grocery</t>
        </is>
      </c>
      <c r="E54" s="7" t="n">
        <v>209.39</v>
      </c>
      <c r="F54" t="inlineStr">
        <is>
          <t>UPI</t>
        </is>
      </c>
      <c r="G54">
        <f>MONTH(A54)</f>
        <v/>
      </c>
      <c r="H54">
        <f>TEXT(A54,"mmm")</f>
        <v/>
      </c>
    </row>
    <row r="55">
      <c r="A55" s="6" t="n">
        <v>45843</v>
      </c>
      <c r="B55" t="inlineStr">
        <is>
          <t>Expense</t>
        </is>
      </c>
      <c r="C55" t="inlineStr">
        <is>
          <t>Food &amp; Snacks</t>
        </is>
      </c>
      <c r="D55" t="inlineStr">
        <is>
          <t>Grocery</t>
        </is>
      </c>
      <c r="E55" s="7" t="n">
        <v>151.84</v>
      </c>
      <c r="F55" t="inlineStr">
        <is>
          <t>UPI</t>
        </is>
      </c>
      <c r="G55">
        <f>MONTH(A55)</f>
        <v/>
      </c>
      <c r="H55">
        <f>TEXT(A55,"mmm")</f>
        <v/>
      </c>
    </row>
    <row r="56">
      <c r="A56" s="6" t="n">
        <v>45897</v>
      </c>
      <c r="B56" t="inlineStr">
        <is>
          <t>Expense</t>
        </is>
      </c>
      <c r="C56" t="inlineStr">
        <is>
          <t>Food &amp; Snacks</t>
        </is>
      </c>
      <c r="D56" t="inlineStr">
        <is>
          <t>Tea/Snacks</t>
        </is>
      </c>
      <c r="E56" s="7" t="n">
        <v>73.53</v>
      </c>
      <c r="F56" t="inlineStr">
        <is>
          <t>Net Banking</t>
        </is>
      </c>
      <c r="G56">
        <f>MONTH(A56)</f>
        <v/>
      </c>
      <c r="H56">
        <f>TEXT(A56,"mmm")</f>
        <v/>
      </c>
    </row>
    <row r="57">
      <c r="A57" s="6" t="n">
        <v>45815</v>
      </c>
      <c r="B57" t="inlineStr">
        <is>
          <t>Expense</t>
        </is>
      </c>
      <c r="C57" t="inlineStr">
        <is>
          <t>Transportation</t>
        </is>
      </c>
      <c r="D57" t="inlineStr">
        <is>
          <t>Auto/Rickshaw</t>
        </is>
      </c>
      <c r="E57" s="7" t="n">
        <v>71.7</v>
      </c>
      <c r="F57" t="inlineStr">
        <is>
          <t>UPI</t>
        </is>
      </c>
      <c r="G57">
        <f>MONTH(A57)</f>
        <v/>
      </c>
      <c r="H57">
        <f>TEXT(A57,"mmm")</f>
        <v/>
      </c>
    </row>
    <row r="58">
      <c r="A58" s="6" t="n">
        <v>45884</v>
      </c>
      <c r="B58" t="inlineStr">
        <is>
          <t>Expense</t>
        </is>
      </c>
      <c r="C58" t="inlineStr">
        <is>
          <t>Food &amp; Snacks</t>
        </is>
      </c>
      <c r="D58" t="inlineStr">
        <is>
          <t>Mess Bill</t>
        </is>
      </c>
      <c r="E58" s="7" t="n">
        <v>199.16</v>
      </c>
      <c r="F58" t="inlineStr">
        <is>
          <t>UPI</t>
        </is>
      </c>
      <c r="G58">
        <f>MONTH(A58)</f>
        <v/>
      </c>
      <c r="H58">
        <f>TEXT(A58,"mmm")</f>
        <v/>
      </c>
    </row>
    <row r="59">
      <c r="A59" s="6" t="n">
        <v>46008</v>
      </c>
      <c r="B59" t="inlineStr">
        <is>
          <t>Expense</t>
        </is>
      </c>
      <c r="C59" t="inlineStr">
        <is>
          <t>Transportation</t>
        </is>
      </c>
      <c r="D59" t="inlineStr">
        <is>
          <t>Fuel</t>
        </is>
      </c>
      <c r="E59" s="7" t="n">
        <v>56.36</v>
      </c>
      <c r="F59" t="inlineStr">
        <is>
          <t>UPI</t>
        </is>
      </c>
      <c r="G59">
        <f>MONTH(A59)</f>
        <v/>
      </c>
      <c r="H59">
        <f>TEXT(A59,"mmm")</f>
        <v/>
      </c>
    </row>
    <row r="60">
      <c r="A60" s="6" t="n">
        <v>45772</v>
      </c>
      <c r="B60" t="inlineStr">
        <is>
          <t>Expense</t>
        </is>
      </c>
      <c r="C60" t="inlineStr">
        <is>
          <t>Food &amp; Snacks</t>
        </is>
      </c>
      <c r="D60" t="inlineStr">
        <is>
          <t>Canteen</t>
        </is>
      </c>
      <c r="E60" s="7" t="n">
        <v>69.52</v>
      </c>
      <c r="F60" t="inlineStr">
        <is>
          <t>Net Banking</t>
        </is>
      </c>
      <c r="G60">
        <f>MONTH(A60)</f>
        <v/>
      </c>
      <c r="H60">
        <f>TEXT(A60,"mmm")</f>
        <v/>
      </c>
    </row>
    <row r="61">
      <c r="A61" s="6" t="n">
        <v>45950</v>
      </c>
      <c r="B61" t="inlineStr">
        <is>
          <t>Expense</t>
        </is>
      </c>
      <c r="C61" t="inlineStr">
        <is>
          <t>Transportation</t>
        </is>
      </c>
      <c r="D61" t="inlineStr">
        <is>
          <t>Metro Card Recharge</t>
        </is>
      </c>
      <c r="E61" s="7" t="n">
        <v>62.95</v>
      </c>
      <c r="F61" t="inlineStr">
        <is>
          <t>UPI</t>
        </is>
      </c>
      <c r="G61">
        <f>MONTH(A61)</f>
        <v/>
      </c>
      <c r="H61">
        <f>TEXT(A61,"mmm")</f>
        <v/>
      </c>
    </row>
    <row r="62">
      <c r="A62" s="6" t="n">
        <v>45773</v>
      </c>
      <c r="B62" t="inlineStr">
        <is>
          <t>Expense</t>
        </is>
      </c>
      <c r="C62" t="inlineStr">
        <is>
          <t>Food &amp; Snacks</t>
        </is>
      </c>
      <c r="D62" t="inlineStr">
        <is>
          <t>Grocery</t>
        </is>
      </c>
      <c r="E62" s="7" t="n">
        <v>206.39</v>
      </c>
      <c r="F62" t="inlineStr">
        <is>
          <t>UPI</t>
        </is>
      </c>
      <c r="G62">
        <f>MONTH(A62)</f>
        <v/>
      </c>
      <c r="H62">
        <f>TEXT(A62,"mmm")</f>
        <v/>
      </c>
    </row>
    <row r="63">
      <c r="A63" s="6" t="n">
        <v>45796</v>
      </c>
      <c r="B63" t="inlineStr">
        <is>
          <t>Expense</t>
        </is>
      </c>
      <c r="C63" t="inlineStr">
        <is>
          <t>Food &amp; Snacks</t>
        </is>
      </c>
      <c r="D63" t="inlineStr">
        <is>
          <t>Restaurant</t>
        </is>
      </c>
      <c r="E63" s="7" t="n">
        <v>90.84999999999999</v>
      </c>
      <c r="F63" t="inlineStr">
        <is>
          <t>UPI</t>
        </is>
      </c>
      <c r="G63">
        <f>MONTH(A63)</f>
        <v/>
      </c>
      <c r="H63">
        <f>TEXT(A63,"mmm")</f>
        <v/>
      </c>
    </row>
    <row r="64">
      <c r="A64" s="6" t="n">
        <v>45867</v>
      </c>
      <c r="B64" t="inlineStr">
        <is>
          <t>Expense</t>
        </is>
      </c>
      <c r="C64" t="inlineStr">
        <is>
          <t>Entertainment</t>
        </is>
      </c>
      <c r="D64" t="inlineStr">
        <is>
          <t>Event Ticket</t>
        </is>
      </c>
      <c r="E64" s="7" t="n">
        <v>236.06</v>
      </c>
      <c r="F64" t="inlineStr">
        <is>
          <t>UPI</t>
        </is>
      </c>
      <c r="G64">
        <f>MONTH(A64)</f>
        <v/>
      </c>
      <c r="H64">
        <f>TEXT(A64,"mmm")</f>
        <v/>
      </c>
    </row>
    <row r="65">
      <c r="A65" s="6" t="n">
        <v>45963</v>
      </c>
      <c r="B65" t="inlineStr">
        <is>
          <t>Expense</t>
        </is>
      </c>
      <c r="C65" t="inlineStr">
        <is>
          <t>Clothing</t>
        </is>
      </c>
      <c r="D65" t="inlineStr">
        <is>
          <t>T-Shirt/Shirt</t>
        </is>
      </c>
      <c r="E65" s="7" t="n">
        <v>1344.35</v>
      </c>
      <c r="F65" t="inlineStr">
        <is>
          <t>UPI</t>
        </is>
      </c>
      <c r="G65">
        <f>MONTH(A65)</f>
        <v/>
      </c>
      <c r="H65">
        <f>TEXT(A65,"mmm")</f>
        <v/>
      </c>
    </row>
    <row r="66">
      <c r="A66" s="6" t="n">
        <v>45768</v>
      </c>
      <c r="B66" t="inlineStr">
        <is>
          <t>Expense</t>
        </is>
      </c>
      <c r="C66" t="inlineStr">
        <is>
          <t>Transportation</t>
        </is>
      </c>
      <c r="D66" t="inlineStr">
        <is>
          <t>Auto/Rickshaw</t>
        </is>
      </c>
      <c r="E66" s="7" t="n">
        <v>86.83</v>
      </c>
      <c r="F66" t="inlineStr">
        <is>
          <t>Net Banking</t>
        </is>
      </c>
      <c r="G66">
        <f>MONTH(A66)</f>
        <v/>
      </c>
      <c r="H66">
        <f>TEXT(A66,"mmm")</f>
        <v/>
      </c>
    </row>
    <row r="67">
      <c r="A67" s="6" t="n">
        <v>45839</v>
      </c>
      <c r="B67" t="inlineStr">
        <is>
          <t>Income</t>
        </is>
      </c>
      <c r="C67" t="inlineStr">
        <is>
          <t>Pocket Money</t>
        </is>
      </c>
      <c r="D67" t="inlineStr">
        <is>
          <t>Monthly Allowance from Parents</t>
        </is>
      </c>
      <c r="E67" s="7" t="n">
        <v>8000</v>
      </c>
      <c r="F67" t="inlineStr">
        <is>
          <t>Net Banking</t>
        </is>
      </c>
      <c r="G67">
        <f>MONTH(A67)</f>
        <v/>
      </c>
      <c r="H67">
        <f>TEXT(A67,"mmm")</f>
        <v/>
      </c>
    </row>
    <row r="68">
      <c r="A68" s="6" t="n">
        <v>45707</v>
      </c>
      <c r="B68" t="inlineStr">
        <is>
          <t>Expense</t>
        </is>
      </c>
      <c r="C68" t="inlineStr">
        <is>
          <t>Miscellaneous</t>
        </is>
      </c>
      <c r="D68" t="inlineStr">
        <is>
          <t>Donation</t>
        </is>
      </c>
      <c r="E68" s="7" t="n">
        <v>140.51</v>
      </c>
      <c r="F68" t="inlineStr">
        <is>
          <t>UPI</t>
        </is>
      </c>
      <c r="G68">
        <f>MONTH(A68)</f>
        <v/>
      </c>
      <c r="H68">
        <f>TEXT(A68,"mmm")</f>
        <v/>
      </c>
    </row>
    <row r="69">
      <c r="A69" s="6" t="n">
        <v>45882</v>
      </c>
      <c r="B69" t="inlineStr">
        <is>
          <t>Expense</t>
        </is>
      </c>
      <c r="C69" t="inlineStr">
        <is>
          <t>Transportation</t>
        </is>
      </c>
      <c r="D69" t="inlineStr">
        <is>
          <t>Metro Card Recharge</t>
        </is>
      </c>
      <c r="E69" s="7" t="n">
        <v>35.51</v>
      </c>
      <c r="F69" t="inlineStr">
        <is>
          <t>UPI</t>
        </is>
      </c>
      <c r="G69">
        <f>MONTH(A69)</f>
        <v/>
      </c>
      <c r="H69">
        <f>TEXT(A69,"mmm")</f>
        <v/>
      </c>
    </row>
    <row r="70">
      <c r="A70" s="6" t="n">
        <v>45980</v>
      </c>
      <c r="B70" t="inlineStr">
        <is>
          <t>Expense</t>
        </is>
      </c>
      <c r="C70" t="inlineStr">
        <is>
          <t>Entertainment</t>
        </is>
      </c>
      <c r="D70" t="inlineStr">
        <is>
          <t>Outing with Friends</t>
        </is>
      </c>
      <c r="E70" s="7" t="n">
        <v>466.61</v>
      </c>
      <c r="F70" t="inlineStr">
        <is>
          <t>Card</t>
        </is>
      </c>
      <c r="G70">
        <f>MONTH(A70)</f>
        <v/>
      </c>
      <c r="H70">
        <f>TEXT(A70,"mmm")</f>
        <v/>
      </c>
    </row>
    <row r="71">
      <c r="A71" s="6" t="n">
        <v>45802</v>
      </c>
      <c r="B71" t="inlineStr">
        <is>
          <t>Expense</t>
        </is>
      </c>
      <c r="C71" t="inlineStr">
        <is>
          <t>Food &amp; Snacks</t>
        </is>
      </c>
      <c r="D71" t="inlineStr">
        <is>
          <t>Mess Bill</t>
        </is>
      </c>
      <c r="E71" s="7" t="n">
        <v>113.42</v>
      </c>
      <c r="F71" t="inlineStr">
        <is>
          <t>Cash</t>
        </is>
      </c>
      <c r="G71">
        <f>MONTH(A71)</f>
        <v/>
      </c>
      <c r="H71">
        <f>TEXT(A71,"mmm")</f>
        <v/>
      </c>
    </row>
    <row r="72">
      <c r="A72" s="6" t="n">
        <v>45687</v>
      </c>
      <c r="B72" t="inlineStr">
        <is>
          <t>Expense</t>
        </is>
      </c>
      <c r="C72" t="inlineStr">
        <is>
          <t>Food &amp; Snacks</t>
        </is>
      </c>
      <c r="D72" t="inlineStr">
        <is>
          <t>Mess Bill</t>
        </is>
      </c>
      <c r="E72" s="7" t="n">
        <v>240.03</v>
      </c>
      <c r="F72" t="inlineStr">
        <is>
          <t>UPI</t>
        </is>
      </c>
      <c r="G72">
        <f>MONTH(A72)</f>
        <v/>
      </c>
      <c r="H72">
        <f>TEXT(A72,"mmm")</f>
        <v/>
      </c>
    </row>
    <row r="73">
      <c r="A73" s="6" t="n">
        <v>45823</v>
      </c>
      <c r="B73" t="inlineStr">
        <is>
          <t>Expense</t>
        </is>
      </c>
      <c r="C73" t="inlineStr">
        <is>
          <t>Transportation</t>
        </is>
      </c>
      <c r="D73" t="inlineStr">
        <is>
          <t>Metro Card Recharge</t>
        </is>
      </c>
      <c r="E73" s="7" t="n">
        <v>90.03</v>
      </c>
      <c r="F73" t="inlineStr">
        <is>
          <t>UPI</t>
        </is>
      </c>
      <c r="G73">
        <f>MONTH(A73)</f>
        <v/>
      </c>
      <c r="H73">
        <f>TEXT(A73,"mmm")</f>
        <v/>
      </c>
    </row>
    <row r="74">
      <c r="A74" s="6" t="n">
        <v>45886</v>
      </c>
      <c r="B74" t="inlineStr">
        <is>
          <t>Expense</t>
        </is>
      </c>
      <c r="C74" t="inlineStr">
        <is>
          <t>Subscriptions</t>
        </is>
      </c>
      <c r="D74" t="inlineStr">
        <is>
          <t>Netflix/OTT Share</t>
        </is>
      </c>
      <c r="E74" s="7" t="n">
        <v>308.66</v>
      </c>
      <c r="F74" t="inlineStr">
        <is>
          <t>UPI</t>
        </is>
      </c>
      <c r="G74">
        <f>MONTH(A74)</f>
        <v/>
      </c>
      <c r="H74">
        <f>TEXT(A74,"mmm")</f>
        <v/>
      </c>
    </row>
    <row r="75">
      <c r="A75" s="6" t="n">
        <v>45760</v>
      </c>
      <c r="B75" t="inlineStr">
        <is>
          <t>Expense</t>
        </is>
      </c>
      <c r="C75" t="inlineStr">
        <is>
          <t>Clothing</t>
        </is>
      </c>
      <c r="D75" t="inlineStr">
        <is>
          <t>Winter Wear</t>
        </is>
      </c>
      <c r="E75" s="7" t="n">
        <v>449.25</v>
      </c>
      <c r="F75" t="inlineStr">
        <is>
          <t>UPI</t>
        </is>
      </c>
      <c r="G75">
        <f>MONTH(A75)</f>
        <v/>
      </c>
      <c r="H75">
        <f>TEXT(A75,"mmm")</f>
        <v/>
      </c>
    </row>
    <row r="76">
      <c r="A76" s="6" t="n">
        <v>45769</v>
      </c>
      <c r="B76" t="inlineStr">
        <is>
          <t>Income</t>
        </is>
      </c>
      <c r="C76" t="inlineStr">
        <is>
          <t>Tutoring Income</t>
        </is>
      </c>
      <c r="D76" t="inlineStr">
        <is>
          <t>Tuition for Junior Student</t>
        </is>
      </c>
      <c r="E76" s="7" t="n">
        <v>2798</v>
      </c>
      <c r="F76" t="inlineStr">
        <is>
          <t>UPI</t>
        </is>
      </c>
      <c r="G76">
        <f>MONTH(A76)</f>
        <v/>
      </c>
      <c r="H76">
        <f>TEXT(A76,"mmm")</f>
        <v/>
      </c>
    </row>
    <row r="77">
      <c r="A77" s="6" t="n">
        <v>45813</v>
      </c>
      <c r="B77" t="inlineStr">
        <is>
          <t>Income</t>
        </is>
      </c>
      <c r="C77" t="inlineStr">
        <is>
          <t>Tutoring Income</t>
        </is>
      </c>
      <c r="D77" t="inlineStr">
        <is>
          <t>Tuition for Junior Student</t>
        </is>
      </c>
      <c r="E77" s="7" t="n">
        <v>2031</v>
      </c>
      <c r="F77" t="inlineStr">
        <is>
          <t>UPI</t>
        </is>
      </c>
      <c r="G77">
        <f>MONTH(A77)</f>
        <v/>
      </c>
      <c r="H77">
        <f>TEXT(A77,"mmm")</f>
        <v/>
      </c>
    </row>
    <row r="78">
      <c r="A78" s="6" t="n">
        <v>46018</v>
      </c>
      <c r="B78" t="inlineStr">
        <is>
          <t>Expense</t>
        </is>
      </c>
      <c r="C78" t="inlineStr">
        <is>
          <t>Food &amp; Snacks</t>
        </is>
      </c>
      <c r="D78" t="inlineStr">
        <is>
          <t>Canteen</t>
        </is>
      </c>
      <c r="E78" s="7" t="n">
        <v>92.23</v>
      </c>
      <c r="F78" t="inlineStr">
        <is>
          <t>Cash</t>
        </is>
      </c>
      <c r="G78">
        <f>MONTH(A78)</f>
        <v/>
      </c>
      <c r="H78">
        <f>TEXT(A78,"mmm")</f>
        <v/>
      </c>
    </row>
    <row r="79">
      <c r="A79" s="6" t="n">
        <v>45682</v>
      </c>
      <c r="B79" t="inlineStr">
        <is>
          <t>Expense</t>
        </is>
      </c>
      <c r="C79" t="inlineStr">
        <is>
          <t>Food &amp; Snacks</t>
        </is>
      </c>
      <c r="D79" t="inlineStr">
        <is>
          <t>Grocery</t>
        </is>
      </c>
      <c r="E79" s="7" t="n">
        <v>236.24</v>
      </c>
      <c r="F79" t="inlineStr">
        <is>
          <t>Card</t>
        </is>
      </c>
      <c r="G79">
        <f>MONTH(A79)</f>
        <v/>
      </c>
      <c r="H79">
        <f>TEXT(A79,"mmm")</f>
        <v/>
      </c>
    </row>
    <row r="80">
      <c r="A80" s="6" t="n">
        <v>45923</v>
      </c>
      <c r="B80" t="inlineStr">
        <is>
          <t>Expense</t>
        </is>
      </c>
      <c r="C80" t="inlineStr">
        <is>
          <t>Subscriptions</t>
        </is>
      </c>
      <c r="D80" t="inlineStr">
        <is>
          <t>Spotify Premium</t>
        </is>
      </c>
      <c r="E80" s="7" t="n">
        <v>285.55</v>
      </c>
      <c r="F80" t="inlineStr">
        <is>
          <t>Cash</t>
        </is>
      </c>
      <c r="G80">
        <f>MONTH(A80)</f>
        <v/>
      </c>
      <c r="H80">
        <f>TEXT(A80,"mmm")</f>
        <v/>
      </c>
    </row>
    <row r="81">
      <c r="A81" s="6" t="n">
        <v>45667</v>
      </c>
      <c r="B81" t="inlineStr">
        <is>
          <t>Expense</t>
        </is>
      </c>
      <c r="C81" t="inlineStr">
        <is>
          <t>Education</t>
        </is>
      </c>
      <c r="D81" t="inlineStr">
        <is>
          <t>Reference Book</t>
        </is>
      </c>
      <c r="E81" s="7" t="n">
        <v>361.18</v>
      </c>
      <c r="F81" t="inlineStr">
        <is>
          <t>UPI</t>
        </is>
      </c>
      <c r="G81">
        <f>MONTH(A81)</f>
        <v/>
      </c>
      <c r="H81">
        <f>TEXT(A81,"mmm")</f>
        <v/>
      </c>
    </row>
    <row r="82">
      <c r="A82" s="6" t="n">
        <v>45930</v>
      </c>
      <c r="B82" t="inlineStr">
        <is>
          <t>Expense</t>
        </is>
      </c>
      <c r="C82" t="inlineStr">
        <is>
          <t>Entertainment</t>
        </is>
      </c>
      <c r="D82" t="inlineStr">
        <is>
          <t>Outing with Friends</t>
        </is>
      </c>
      <c r="E82" s="7" t="n">
        <v>478.17</v>
      </c>
      <c r="F82" t="inlineStr">
        <is>
          <t>UPI</t>
        </is>
      </c>
      <c r="G82">
        <f>MONTH(A82)</f>
        <v/>
      </c>
      <c r="H82">
        <f>TEXT(A82,"mmm")</f>
        <v/>
      </c>
    </row>
    <row r="83">
      <c r="A83" s="6" t="n">
        <v>45968</v>
      </c>
      <c r="B83" t="inlineStr">
        <is>
          <t>Expense</t>
        </is>
      </c>
      <c r="C83" t="inlineStr">
        <is>
          <t>Transportation</t>
        </is>
      </c>
      <c r="D83" t="inlineStr">
        <is>
          <t>Cab Ride</t>
        </is>
      </c>
      <c r="E83" s="7" t="n">
        <v>24.89</v>
      </c>
      <c r="F83" t="inlineStr">
        <is>
          <t>Cash</t>
        </is>
      </c>
      <c r="G83">
        <f>MONTH(A83)</f>
        <v/>
      </c>
      <c r="H83">
        <f>TEXT(A83,"mmm")</f>
        <v/>
      </c>
    </row>
    <row r="84">
      <c r="A84" s="6" t="n">
        <v>45860</v>
      </c>
      <c r="B84" t="inlineStr">
        <is>
          <t>Expense</t>
        </is>
      </c>
      <c r="C84" t="inlineStr">
        <is>
          <t>Food &amp; Snacks</t>
        </is>
      </c>
      <c r="D84" t="inlineStr">
        <is>
          <t>Grocery</t>
        </is>
      </c>
      <c r="E84" s="7" t="n">
        <v>78.53</v>
      </c>
      <c r="F84" t="inlineStr">
        <is>
          <t>UPI</t>
        </is>
      </c>
      <c r="G84">
        <f>MONTH(A84)</f>
        <v/>
      </c>
      <c r="H84">
        <f>TEXT(A84,"mmm")</f>
        <v/>
      </c>
    </row>
    <row r="85">
      <c r="A85" s="6" t="n">
        <v>45831</v>
      </c>
      <c r="B85" t="inlineStr">
        <is>
          <t>Expense</t>
        </is>
      </c>
      <c r="C85" t="inlineStr">
        <is>
          <t>Miscellaneous</t>
        </is>
      </c>
      <c r="D85" t="inlineStr">
        <is>
          <t>Other</t>
        </is>
      </c>
      <c r="E85" s="7" t="n">
        <v>383.8</v>
      </c>
      <c r="F85" t="inlineStr">
        <is>
          <t>UPI</t>
        </is>
      </c>
      <c r="G85">
        <f>MONTH(A85)</f>
        <v/>
      </c>
      <c r="H85">
        <f>TEXT(A85,"mmm")</f>
        <v/>
      </c>
    </row>
    <row r="86">
      <c r="A86" s="6" t="n">
        <v>45980</v>
      </c>
      <c r="B86" t="inlineStr">
        <is>
          <t>Expense</t>
        </is>
      </c>
      <c r="C86" t="inlineStr">
        <is>
          <t>Food &amp; Snacks</t>
        </is>
      </c>
      <c r="D86" t="inlineStr">
        <is>
          <t>Tea/Snacks</t>
        </is>
      </c>
      <c r="E86" s="7" t="n">
        <v>139.36</v>
      </c>
      <c r="F86" t="inlineStr">
        <is>
          <t>Cash</t>
        </is>
      </c>
      <c r="G86">
        <f>MONTH(A86)</f>
        <v/>
      </c>
      <c r="H86">
        <f>TEXT(A86,"mmm")</f>
        <v/>
      </c>
    </row>
    <row r="87">
      <c r="A87" s="6" t="n">
        <v>45761</v>
      </c>
      <c r="B87" t="inlineStr">
        <is>
          <t>Expense</t>
        </is>
      </c>
      <c r="C87" t="inlineStr">
        <is>
          <t>Food &amp; Snacks</t>
        </is>
      </c>
      <c r="D87" t="inlineStr">
        <is>
          <t>Tiffin</t>
        </is>
      </c>
      <c r="E87" s="7" t="n">
        <v>97.15000000000001</v>
      </c>
      <c r="F87" t="inlineStr">
        <is>
          <t>UPI</t>
        </is>
      </c>
      <c r="G87">
        <f>MONTH(A87)</f>
        <v/>
      </c>
      <c r="H87">
        <f>TEXT(A87,"mmm")</f>
        <v/>
      </c>
    </row>
    <row r="88">
      <c r="A88" s="6" t="n">
        <v>45683</v>
      </c>
      <c r="B88" t="inlineStr">
        <is>
          <t>Expense</t>
        </is>
      </c>
      <c r="C88" t="inlineStr">
        <is>
          <t>Food &amp; Snacks</t>
        </is>
      </c>
      <c r="D88" t="inlineStr">
        <is>
          <t>Tea/Snacks</t>
        </is>
      </c>
      <c r="E88" s="7" t="n">
        <v>113.79</v>
      </c>
      <c r="F88" t="inlineStr">
        <is>
          <t>Cash</t>
        </is>
      </c>
      <c r="G88">
        <f>MONTH(A88)</f>
        <v/>
      </c>
      <c r="H88">
        <f>TEXT(A88,"mmm")</f>
        <v/>
      </c>
    </row>
    <row r="89">
      <c r="A89" s="6" t="n">
        <v>45817</v>
      </c>
      <c r="B89" t="inlineStr">
        <is>
          <t>Expense</t>
        </is>
      </c>
      <c r="C89" t="inlineStr">
        <is>
          <t>Food &amp; Snacks</t>
        </is>
      </c>
      <c r="D89" t="inlineStr">
        <is>
          <t>Tea/Snacks</t>
        </is>
      </c>
      <c r="E89" s="7" t="n">
        <v>202.69</v>
      </c>
      <c r="F89" t="inlineStr">
        <is>
          <t>UPI</t>
        </is>
      </c>
      <c r="G89">
        <f>MONTH(A89)</f>
        <v/>
      </c>
      <c r="H89">
        <f>TEXT(A89,"mmm")</f>
        <v/>
      </c>
    </row>
    <row r="90">
      <c r="A90" s="6" t="n">
        <v>45726</v>
      </c>
      <c r="B90" t="inlineStr">
        <is>
          <t>Expense</t>
        </is>
      </c>
      <c r="C90" t="inlineStr">
        <is>
          <t>Education</t>
        </is>
      </c>
      <c r="D90" t="inlineStr">
        <is>
          <t>Reference Book</t>
        </is>
      </c>
      <c r="E90" s="7" t="n">
        <v>674.66</v>
      </c>
      <c r="F90" t="inlineStr">
        <is>
          <t>UPI</t>
        </is>
      </c>
      <c r="G90">
        <f>MONTH(A90)</f>
        <v/>
      </c>
      <c r="H90">
        <f>TEXT(A90,"mmm")</f>
        <v/>
      </c>
    </row>
    <row r="91">
      <c r="A91" s="6" t="n">
        <v>45765</v>
      </c>
      <c r="B91" t="inlineStr">
        <is>
          <t>Expense</t>
        </is>
      </c>
      <c r="C91" t="inlineStr">
        <is>
          <t>Mobile &amp; Internet</t>
        </is>
      </c>
      <c r="D91" t="inlineStr">
        <is>
          <t>Monthly Recharge</t>
        </is>
      </c>
      <c r="E91" s="7" t="n">
        <v>275.39</v>
      </c>
      <c r="F91" t="inlineStr">
        <is>
          <t>Card</t>
        </is>
      </c>
      <c r="G91">
        <f>MONTH(A91)</f>
        <v/>
      </c>
      <c r="H91">
        <f>TEXT(A91,"mmm")</f>
        <v/>
      </c>
    </row>
    <row r="92">
      <c r="A92" s="6" t="n">
        <v>45845</v>
      </c>
      <c r="B92" t="inlineStr">
        <is>
          <t>Expense</t>
        </is>
      </c>
      <c r="C92" t="inlineStr">
        <is>
          <t>Transportation</t>
        </is>
      </c>
      <c r="D92" t="inlineStr">
        <is>
          <t>Cab Ride</t>
        </is>
      </c>
      <c r="E92" s="7" t="n">
        <v>33.48</v>
      </c>
      <c r="F92" t="inlineStr">
        <is>
          <t>Cash</t>
        </is>
      </c>
      <c r="G92">
        <f>MONTH(A92)</f>
        <v/>
      </c>
      <c r="H92">
        <f>TEXT(A92,"mmm")</f>
        <v/>
      </c>
    </row>
    <row r="93">
      <c r="A93" s="6" t="n">
        <v>45736</v>
      </c>
      <c r="B93" t="inlineStr">
        <is>
          <t>Expense</t>
        </is>
      </c>
      <c r="C93" t="inlineStr">
        <is>
          <t>Transportation</t>
        </is>
      </c>
      <c r="D93" t="inlineStr">
        <is>
          <t>Auto/Rickshaw</t>
        </is>
      </c>
      <c r="E93" s="7" t="n">
        <v>43.84</v>
      </c>
      <c r="F93" t="inlineStr">
        <is>
          <t>UPI</t>
        </is>
      </c>
      <c r="G93">
        <f>MONTH(A93)</f>
        <v/>
      </c>
      <c r="H93">
        <f>TEXT(A93,"mmm")</f>
        <v/>
      </c>
    </row>
    <row r="94">
      <c r="A94" s="6" t="n">
        <v>45716</v>
      </c>
      <c r="B94" t="inlineStr">
        <is>
          <t>Expense</t>
        </is>
      </c>
      <c r="C94" t="inlineStr">
        <is>
          <t>Entertainment</t>
        </is>
      </c>
      <c r="D94" t="inlineStr">
        <is>
          <t>Movie Ticket</t>
        </is>
      </c>
      <c r="E94" s="7" t="n">
        <v>102.08</v>
      </c>
      <c r="F94" t="inlineStr">
        <is>
          <t>Net Banking</t>
        </is>
      </c>
      <c r="G94">
        <f>MONTH(A94)</f>
        <v/>
      </c>
      <c r="H94">
        <f>TEXT(A94,"mmm")</f>
        <v/>
      </c>
    </row>
    <row r="95">
      <c r="A95" s="6" t="n">
        <v>45707</v>
      </c>
      <c r="B95" t="inlineStr">
        <is>
          <t>Expense</t>
        </is>
      </c>
      <c r="C95" t="inlineStr">
        <is>
          <t>Food &amp; Snacks</t>
        </is>
      </c>
      <c r="D95" t="inlineStr">
        <is>
          <t>Mess Bill</t>
        </is>
      </c>
      <c r="E95" s="7" t="n">
        <v>177.33</v>
      </c>
      <c r="F95" t="inlineStr">
        <is>
          <t>UPI</t>
        </is>
      </c>
      <c r="G95">
        <f>MONTH(A95)</f>
        <v/>
      </c>
      <c r="H95">
        <f>TEXT(A95,"mmm")</f>
        <v/>
      </c>
    </row>
    <row r="96">
      <c r="A96" s="6" t="n">
        <v>45875</v>
      </c>
      <c r="B96" t="inlineStr">
        <is>
          <t>Expense</t>
        </is>
      </c>
      <c r="C96" t="inlineStr">
        <is>
          <t>Education</t>
        </is>
      </c>
      <c r="D96" t="inlineStr">
        <is>
          <t>Stationery</t>
        </is>
      </c>
      <c r="E96" s="7" t="n">
        <v>793.28</v>
      </c>
      <c r="F96" t="inlineStr">
        <is>
          <t>Card</t>
        </is>
      </c>
      <c r="G96">
        <f>MONTH(A96)</f>
        <v/>
      </c>
      <c r="H96">
        <f>TEXT(A96,"mmm")</f>
        <v/>
      </c>
    </row>
    <row r="97">
      <c r="A97" s="6" t="n">
        <v>45992</v>
      </c>
      <c r="B97" t="inlineStr">
        <is>
          <t>Expense</t>
        </is>
      </c>
      <c r="C97" t="inlineStr">
        <is>
          <t>Food &amp; Snacks</t>
        </is>
      </c>
      <c r="D97" t="inlineStr">
        <is>
          <t>Restaurant</t>
        </is>
      </c>
      <c r="E97" s="7" t="n">
        <v>220.26</v>
      </c>
      <c r="F97" t="inlineStr">
        <is>
          <t>Cash</t>
        </is>
      </c>
      <c r="G97">
        <f>MONTH(A97)</f>
        <v/>
      </c>
      <c r="H97">
        <f>TEXT(A97,"mmm")</f>
        <v/>
      </c>
    </row>
    <row r="98">
      <c r="A98" s="6" t="n">
        <v>45942</v>
      </c>
      <c r="B98" t="inlineStr">
        <is>
          <t>Expense</t>
        </is>
      </c>
      <c r="C98" t="inlineStr">
        <is>
          <t>Entertainment</t>
        </is>
      </c>
      <c r="D98" t="inlineStr">
        <is>
          <t>Outing with Friends</t>
        </is>
      </c>
      <c r="E98" s="7" t="n">
        <v>135.76</v>
      </c>
      <c r="F98" t="inlineStr">
        <is>
          <t>Card</t>
        </is>
      </c>
      <c r="G98">
        <f>MONTH(A98)</f>
        <v/>
      </c>
      <c r="H98">
        <f>TEXT(A98,"mmm")</f>
        <v/>
      </c>
    </row>
    <row r="99">
      <c r="A99" s="6" t="n">
        <v>45798</v>
      </c>
      <c r="B99" t="inlineStr">
        <is>
          <t>Expense</t>
        </is>
      </c>
      <c r="C99" t="inlineStr">
        <is>
          <t>Food &amp; Snacks</t>
        </is>
      </c>
      <c r="D99" t="inlineStr">
        <is>
          <t>Restaurant</t>
        </is>
      </c>
      <c r="E99" s="7" t="n">
        <v>238.11</v>
      </c>
      <c r="F99" t="inlineStr">
        <is>
          <t>Card</t>
        </is>
      </c>
      <c r="G99">
        <f>MONTH(A99)</f>
        <v/>
      </c>
      <c r="H99">
        <f>TEXT(A99,"mmm")</f>
        <v/>
      </c>
    </row>
    <row r="100">
      <c r="A100" s="6" t="n">
        <v>46021</v>
      </c>
      <c r="B100" t="inlineStr">
        <is>
          <t>Expense</t>
        </is>
      </c>
      <c r="C100" t="inlineStr">
        <is>
          <t>Food &amp; Snacks</t>
        </is>
      </c>
      <c r="D100" t="inlineStr">
        <is>
          <t>Mess Bill</t>
        </is>
      </c>
      <c r="E100" s="7" t="n">
        <v>172.34</v>
      </c>
      <c r="F100" t="inlineStr">
        <is>
          <t>Net Banking</t>
        </is>
      </c>
      <c r="G100">
        <f>MONTH(A100)</f>
        <v/>
      </c>
      <c r="H100">
        <f>TEXT(A100,"mmm")</f>
        <v/>
      </c>
    </row>
    <row r="101">
      <c r="A101" s="6" t="n">
        <v>45664</v>
      </c>
      <c r="B101" t="inlineStr">
        <is>
          <t>Expense</t>
        </is>
      </c>
      <c r="C101" t="inlineStr">
        <is>
          <t>Food &amp; Snacks</t>
        </is>
      </c>
      <c r="D101" t="inlineStr">
        <is>
          <t>Tiffin</t>
        </is>
      </c>
      <c r="E101" s="7" t="n">
        <v>231.83</v>
      </c>
      <c r="F101" t="inlineStr">
        <is>
          <t>UPI</t>
        </is>
      </c>
      <c r="G101">
        <f>MONTH(A101)</f>
        <v/>
      </c>
      <c r="H101">
        <f>TEXT(A101,"mmm")</f>
        <v/>
      </c>
    </row>
    <row r="102">
      <c r="A102" s="6" t="n">
        <v>45688</v>
      </c>
      <c r="B102" t="inlineStr">
        <is>
          <t>Expense</t>
        </is>
      </c>
      <c r="C102" t="inlineStr">
        <is>
          <t>Education</t>
        </is>
      </c>
      <c r="D102" t="inlineStr">
        <is>
          <t>Lab Manual</t>
        </is>
      </c>
      <c r="E102" s="7" t="n">
        <v>647.29</v>
      </c>
      <c r="F102" t="inlineStr">
        <is>
          <t>UPI</t>
        </is>
      </c>
      <c r="G102">
        <f>MONTH(A102)</f>
        <v/>
      </c>
      <c r="H102">
        <f>TEXT(A102,"mmm")</f>
        <v/>
      </c>
    </row>
    <row r="103">
      <c r="A103" s="6" t="n">
        <v>46016</v>
      </c>
      <c r="B103" t="inlineStr">
        <is>
          <t>Expense</t>
        </is>
      </c>
      <c r="C103" t="inlineStr">
        <is>
          <t>Transportation</t>
        </is>
      </c>
      <c r="D103" t="inlineStr">
        <is>
          <t>Cab Ride</t>
        </is>
      </c>
      <c r="E103" s="7" t="n">
        <v>87.06999999999999</v>
      </c>
      <c r="F103" t="inlineStr">
        <is>
          <t>UPI</t>
        </is>
      </c>
      <c r="G103">
        <f>MONTH(A103)</f>
        <v/>
      </c>
      <c r="H103">
        <f>TEXT(A103,"mmm")</f>
        <v/>
      </c>
    </row>
    <row r="104">
      <c r="A104" s="6" t="n">
        <v>45739</v>
      </c>
      <c r="B104" t="inlineStr">
        <is>
          <t>Expense</t>
        </is>
      </c>
      <c r="C104" t="inlineStr">
        <is>
          <t>Food &amp; Snacks</t>
        </is>
      </c>
      <c r="D104" t="inlineStr">
        <is>
          <t>Tiffin</t>
        </is>
      </c>
      <c r="E104" s="7" t="n">
        <v>244.09</v>
      </c>
      <c r="F104" t="inlineStr">
        <is>
          <t>Cash</t>
        </is>
      </c>
      <c r="G104">
        <f>MONTH(A104)</f>
        <v/>
      </c>
      <c r="H104">
        <f>TEXT(A104,"mmm")</f>
        <v/>
      </c>
    </row>
    <row r="105">
      <c r="A105" s="6" t="n">
        <v>45845</v>
      </c>
      <c r="B105" t="inlineStr">
        <is>
          <t>Expense</t>
        </is>
      </c>
      <c r="C105" t="inlineStr">
        <is>
          <t>Food &amp; Snacks</t>
        </is>
      </c>
      <c r="D105" t="inlineStr">
        <is>
          <t>Mess Bill</t>
        </is>
      </c>
      <c r="E105" s="7" t="n">
        <v>140.27</v>
      </c>
      <c r="F105" t="inlineStr">
        <is>
          <t>UPI</t>
        </is>
      </c>
      <c r="G105">
        <f>MONTH(A105)</f>
        <v/>
      </c>
      <c r="H105">
        <f>TEXT(A105,"mmm")</f>
        <v/>
      </c>
    </row>
    <row r="106">
      <c r="A106" s="6" t="n">
        <v>45713</v>
      </c>
      <c r="B106" t="inlineStr">
        <is>
          <t>Expense</t>
        </is>
      </c>
      <c r="C106" t="inlineStr">
        <is>
          <t>Transportation</t>
        </is>
      </c>
      <c r="D106" t="inlineStr">
        <is>
          <t>Auto/Rickshaw</t>
        </is>
      </c>
      <c r="E106" s="7" t="n">
        <v>92.86</v>
      </c>
      <c r="F106" t="inlineStr">
        <is>
          <t>UPI</t>
        </is>
      </c>
      <c r="G106">
        <f>MONTH(A106)</f>
        <v/>
      </c>
      <c r="H106">
        <f>TEXT(A106,"mmm")</f>
        <v/>
      </c>
    </row>
    <row r="107">
      <c r="A107" s="6" t="n">
        <v>45970</v>
      </c>
      <c r="B107" t="inlineStr">
        <is>
          <t>Expense</t>
        </is>
      </c>
      <c r="C107" t="inlineStr">
        <is>
          <t>Food &amp; Snacks</t>
        </is>
      </c>
      <c r="D107" t="inlineStr">
        <is>
          <t>Grocery</t>
        </is>
      </c>
      <c r="E107" s="7" t="n">
        <v>204.79</v>
      </c>
      <c r="F107" t="inlineStr">
        <is>
          <t>UPI</t>
        </is>
      </c>
      <c r="G107">
        <f>MONTH(A107)</f>
        <v/>
      </c>
      <c r="H107">
        <f>TEXT(A107,"mmm")</f>
        <v/>
      </c>
    </row>
    <row r="108">
      <c r="A108" s="6" t="n">
        <v>45696</v>
      </c>
      <c r="B108" t="inlineStr">
        <is>
          <t>Expense</t>
        </is>
      </c>
      <c r="C108" t="inlineStr">
        <is>
          <t>Transportation</t>
        </is>
      </c>
      <c r="D108" t="inlineStr">
        <is>
          <t>Metro Card Recharge</t>
        </is>
      </c>
      <c r="E108" s="7" t="n">
        <v>89.3</v>
      </c>
      <c r="F108" t="inlineStr">
        <is>
          <t>UPI</t>
        </is>
      </c>
      <c r="G108">
        <f>MONTH(A108)</f>
        <v/>
      </c>
      <c r="H108">
        <f>TEXT(A108,"mmm")</f>
        <v/>
      </c>
    </row>
    <row r="109">
      <c r="A109" s="6" t="n">
        <v>45863</v>
      </c>
      <c r="B109" t="inlineStr">
        <is>
          <t>Expense</t>
        </is>
      </c>
      <c r="C109" t="inlineStr">
        <is>
          <t>Transportation</t>
        </is>
      </c>
      <c r="D109" t="inlineStr">
        <is>
          <t>Metro Card Recharge</t>
        </is>
      </c>
      <c r="E109" s="7" t="n">
        <v>38.86</v>
      </c>
      <c r="F109" t="inlineStr">
        <is>
          <t>Cash</t>
        </is>
      </c>
      <c r="G109">
        <f>MONTH(A109)</f>
        <v/>
      </c>
      <c r="H109">
        <f>TEXT(A109,"mmm")</f>
        <v/>
      </c>
    </row>
    <row r="110">
      <c r="A110" s="6" t="n">
        <v>45998</v>
      </c>
      <c r="B110" t="inlineStr">
        <is>
          <t>Expense</t>
        </is>
      </c>
      <c r="C110" t="inlineStr">
        <is>
          <t>Food &amp; Snacks</t>
        </is>
      </c>
      <c r="D110" t="inlineStr">
        <is>
          <t>Restaurant</t>
        </is>
      </c>
      <c r="E110" s="7" t="n">
        <v>118.91</v>
      </c>
      <c r="F110" t="inlineStr">
        <is>
          <t>Net Banking</t>
        </is>
      </c>
      <c r="G110">
        <f>MONTH(A110)</f>
        <v/>
      </c>
      <c r="H110">
        <f>TEXT(A110,"mmm")</f>
        <v/>
      </c>
    </row>
    <row r="111">
      <c r="A111" s="6" t="n">
        <v>45784</v>
      </c>
      <c r="B111" t="inlineStr">
        <is>
          <t>Expense</t>
        </is>
      </c>
      <c r="C111" t="inlineStr">
        <is>
          <t>Clothing</t>
        </is>
      </c>
      <c r="D111" t="inlineStr">
        <is>
          <t>Festive Shopping</t>
        </is>
      </c>
      <c r="E111" s="7" t="n">
        <v>386.03</v>
      </c>
      <c r="F111" t="inlineStr">
        <is>
          <t>Cash</t>
        </is>
      </c>
      <c r="G111">
        <f>MONTH(A111)</f>
        <v/>
      </c>
      <c r="H111">
        <f>TEXT(A111,"mmm")</f>
        <v/>
      </c>
    </row>
    <row r="112">
      <c r="A112" s="6" t="n">
        <v>45696</v>
      </c>
      <c r="B112" t="inlineStr">
        <is>
          <t>Expense</t>
        </is>
      </c>
      <c r="C112" t="inlineStr">
        <is>
          <t>Savings</t>
        </is>
      </c>
      <c r="D112" t="inlineStr">
        <is>
          <t>Transfer to Savings Account</t>
        </is>
      </c>
      <c r="E112" s="7" t="n">
        <v>718.52</v>
      </c>
      <c r="F112" t="inlineStr">
        <is>
          <t>Card</t>
        </is>
      </c>
      <c r="G112">
        <f>MONTH(A112)</f>
        <v/>
      </c>
      <c r="H112">
        <f>TEXT(A112,"mmm")</f>
        <v/>
      </c>
    </row>
    <row r="113">
      <c r="A113" s="6" t="n">
        <v>45925</v>
      </c>
      <c r="B113" t="inlineStr">
        <is>
          <t>Expense</t>
        </is>
      </c>
      <c r="C113" t="inlineStr">
        <is>
          <t>Education</t>
        </is>
      </c>
      <c r="D113" t="inlineStr">
        <is>
          <t>Reference Book</t>
        </is>
      </c>
      <c r="E113" s="7" t="n">
        <v>481.07</v>
      </c>
      <c r="F113" t="inlineStr">
        <is>
          <t>Net Banking</t>
        </is>
      </c>
      <c r="G113">
        <f>MONTH(A113)</f>
        <v/>
      </c>
      <c r="H113">
        <f>TEXT(A113,"mmm")</f>
        <v/>
      </c>
    </row>
    <row r="114">
      <c r="A114" s="6" t="n">
        <v>45973</v>
      </c>
      <c r="B114" t="inlineStr">
        <is>
          <t>Expense</t>
        </is>
      </c>
      <c r="C114" t="inlineStr">
        <is>
          <t>Transportation</t>
        </is>
      </c>
      <c r="D114" t="inlineStr">
        <is>
          <t>Cab Ride</t>
        </is>
      </c>
      <c r="E114" s="7" t="n">
        <v>76.61</v>
      </c>
      <c r="F114" t="inlineStr">
        <is>
          <t>UPI</t>
        </is>
      </c>
      <c r="G114">
        <f>MONTH(A114)</f>
        <v/>
      </c>
      <c r="H114">
        <f>TEXT(A114,"mmm")</f>
        <v/>
      </c>
    </row>
    <row r="115">
      <c r="A115" s="6" t="n">
        <v>45877</v>
      </c>
      <c r="B115" t="inlineStr">
        <is>
          <t>Expense</t>
        </is>
      </c>
      <c r="C115" t="inlineStr">
        <is>
          <t>Food &amp; Snacks</t>
        </is>
      </c>
      <c r="D115" t="inlineStr">
        <is>
          <t>Mess Bill</t>
        </is>
      </c>
      <c r="E115" s="7" t="n">
        <v>60.3</v>
      </c>
      <c r="F115" t="inlineStr">
        <is>
          <t>UPI</t>
        </is>
      </c>
      <c r="G115">
        <f>MONTH(A115)</f>
        <v/>
      </c>
      <c r="H115">
        <f>TEXT(A115,"mmm")</f>
        <v/>
      </c>
    </row>
    <row r="116">
      <c r="A116" s="6" t="n">
        <v>45813</v>
      </c>
      <c r="B116" t="inlineStr">
        <is>
          <t>Expense</t>
        </is>
      </c>
      <c r="C116" t="inlineStr">
        <is>
          <t>Food &amp; Snacks</t>
        </is>
      </c>
      <c r="D116" t="inlineStr">
        <is>
          <t>Restaurant</t>
        </is>
      </c>
      <c r="E116" s="7" t="n">
        <v>137.09</v>
      </c>
      <c r="F116" t="inlineStr">
        <is>
          <t>UPI</t>
        </is>
      </c>
      <c r="G116">
        <f>MONTH(A116)</f>
        <v/>
      </c>
      <c r="H116">
        <f>TEXT(A116,"mmm")</f>
        <v/>
      </c>
    </row>
    <row r="117">
      <c r="A117" s="6" t="n">
        <v>45825</v>
      </c>
      <c r="B117" t="inlineStr">
        <is>
          <t>Expense</t>
        </is>
      </c>
      <c r="C117" t="inlineStr">
        <is>
          <t>Transportation</t>
        </is>
      </c>
      <c r="D117" t="inlineStr">
        <is>
          <t>Fuel</t>
        </is>
      </c>
      <c r="E117" s="7" t="n">
        <v>20.06</v>
      </c>
      <c r="F117" t="inlineStr">
        <is>
          <t>UPI</t>
        </is>
      </c>
      <c r="G117">
        <f>MONTH(A117)</f>
        <v/>
      </c>
      <c r="H117">
        <f>TEXT(A117,"mmm")</f>
        <v/>
      </c>
    </row>
    <row r="118">
      <c r="A118" s="6" t="n">
        <v>45725</v>
      </c>
      <c r="B118" t="inlineStr">
        <is>
          <t>Expense</t>
        </is>
      </c>
      <c r="C118" t="inlineStr">
        <is>
          <t>Food &amp; Snacks</t>
        </is>
      </c>
      <c r="D118" t="inlineStr">
        <is>
          <t>Restaurant</t>
        </is>
      </c>
      <c r="E118" s="7" t="n">
        <v>200.7</v>
      </c>
      <c r="F118" t="inlineStr">
        <is>
          <t>Cash</t>
        </is>
      </c>
      <c r="G118">
        <f>MONTH(A118)</f>
        <v/>
      </c>
      <c r="H118">
        <f>TEXT(A118,"mmm")</f>
        <v/>
      </c>
    </row>
    <row r="119">
      <c r="A119" s="6" t="n">
        <v>45970</v>
      </c>
      <c r="B119" t="inlineStr">
        <is>
          <t>Expense</t>
        </is>
      </c>
      <c r="C119" t="inlineStr">
        <is>
          <t>Transportation</t>
        </is>
      </c>
      <c r="D119" t="inlineStr">
        <is>
          <t>Cab Ride</t>
        </is>
      </c>
      <c r="E119" s="7" t="n">
        <v>37.55</v>
      </c>
      <c r="F119" t="inlineStr">
        <is>
          <t>Card</t>
        </is>
      </c>
      <c r="G119">
        <f>MONTH(A119)</f>
        <v/>
      </c>
      <c r="H119">
        <f>TEXT(A119,"mmm")</f>
        <v/>
      </c>
    </row>
    <row r="120">
      <c r="A120" s="6" t="n">
        <v>45720</v>
      </c>
      <c r="B120" t="inlineStr">
        <is>
          <t>Expense</t>
        </is>
      </c>
      <c r="C120" t="inlineStr">
        <is>
          <t>Food &amp; Snacks</t>
        </is>
      </c>
      <c r="D120" t="inlineStr">
        <is>
          <t>Canteen</t>
        </is>
      </c>
      <c r="E120" s="7" t="n">
        <v>106.18</v>
      </c>
      <c r="F120" t="inlineStr">
        <is>
          <t>Card</t>
        </is>
      </c>
      <c r="G120">
        <f>MONTH(A120)</f>
        <v/>
      </c>
      <c r="H120">
        <f>TEXT(A120,"mmm")</f>
        <v/>
      </c>
    </row>
    <row r="121">
      <c r="A121" s="6" t="n">
        <v>45839</v>
      </c>
      <c r="B121" t="inlineStr">
        <is>
          <t>Expense</t>
        </is>
      </c>
      <c r="C121" t="inlineStr">
        <is>
          <t>Mobile &amp; Internet</t>
        </is>
      </c>
      <c r="D121" t="inlineStr">
        <is>
          <t>Monthly Recharge</t>
        </is>
      </c>
      <c r="E121" s="7" t="n">
        <v>257.08</v>
      </c>
      <c r="F121" t="inlineStr">
        <is>
          <t>Card</t>
        </is>
      </c>
      <c r="G121">
        <f>MONTH(A121)</f>
        <v/>
      </c>
      <c r="H121">
        <f>TEXT(A121,"mmm")</f>
        <v/>
      </c>
    </row>
    <row r="122">
      <c r="A122" s="6" t="n">
        <v>45975</v>
      </c>
      <c r="B122" t="inlineStr">
        <is>
          <t>Income</t>
        </is>
      </c>
      <c r="C122" t="inlineStr">
        <is>
          <t>Tutoring Income</t>
        </is>
      </c>
      <c r="D122" t="inlineStr">
        <is>
          <t>Tuition for Junior Student</t>
        </is>
      </c>
      <c r="E122" s="7" t="n">
        <v>2647</v>
      </c>
      <c r="F122" t="inlineStr">
        <is>
          <t>UPI</t>
        </is>
      </c>
      <c r="G122">
        <f>MONTH(A122)</f>
        <v/>
      </c>
      <c r="H122">
        <f>TEXT(A122,"mmm")</f>
        <v/>
      </c>
    </row>
    <row r="123">
      <c r="A123" s="6" t="n">
        <v>45694</v>
      </c>
      <c r="B123" t="inlineStr">
        <is>
          <t>Expense</t>
        </is>
      </c>
      <c r="C123" t="inlineStr">
        <is>
          <t>Education</t>
        </is>
      </c>
      <c r="D123" t="inlineStr">
        <is>
          <t>Stationery</t>
        </is>
      </c>
      <c r="E123" s="7" t="n">
        <v>537.6</v>
      </c>
      <c r="F123" t="inlineStr">
        <is>
          <t>Cash</t>
        </is>
      </c>
      <c r="G123">
        <f>MONTH(A123)</f>
        <v/>
      </c>
      <c r="H123">
        <f>TEXT(A123,"mmm")</f>
        <v/>
      </c>
    </row>
    <row r="124">
      <c r="A124" s="6" t="n">
        <v>45740</v>
      </c>
      <c r="B124" t="inlineStr">
        <is>
          <t>Expense</t>
        </is>
      </c>
      <c r="C124" t="inlineStr">
        <is>
          <t>Transportation</t>
        </is>
      </c>
      <c r="D124" t="inlineStr">
        <is>
          <t>Auto/Rickshaw</t>
        </is>
      </c>
      <c r="E124" s="7" t="n">
        <v>91.34</v>
      </c>
      <c r="F124" t="inlineStr">
        <is>
          <t>UPI</t>
        </is>
      </c>
      <c r="G124">
        <f>MONTH(A124)</f>
        <v/>
      </c>
      <c r="H124">
        <f>TEXT(A124,"mmm")</f>
        <v/>
      </c>
    </row>
    <row r="125">
      <c r="A125" s="6" t="n">
        <v>45725</v>
      </c>
      <c r="B125" t="inlineStr">
        <is>
          <t>Expense</t>
        </is>
      </c>
      <c r="C125" t="inlineStr">
        <is>
          <t>Food &amp; Snacks</t>
        </is>
      </c>
      <c r="D125" t="inlineStr">
        <is>
          <t>Restaurant</t>
        </is>
      </c>
      <c r="E125" s="7" t="n">
        <v>74.42</v>
      </c>
      <c r="F125" t="inlineStr">
        <is>
          <t>UPI</t>
        </is>
      </c>
      <c r="G125">
        <f>MONTH(A125)</f>
        <v/>
      </c>
      <c r="H125">
        <f>TEXT(A125,"mmm")</f>
        <v/>
      </c>
    </row>
    <row r="126">
      <c r="A126" s="6" t="n">
        <v>45778</v>
      </c>
      <c r="B126" t="inlineStr">
        <is>
          <t>Expense</t>
        </is>
      </c>
      <c r="C126" t="inlineStr">
        <is>
          <t>Transportation</t>
        </is>
      </c>
      <c r="D126" t="inlineStr">
        <is>
          <t>Cab Ride</t>
        </is>
      </c>
      <c r="E126" s="7" t="n">
        <v>52.21</v>
      </c>
      <c r="F126" t="inlineStr">
        <is>
          <t>UPI</t>
        </is>
      </c>
      <c r="G126">
        <f>MONTH(A126)</f>
        <v/>
      </c>
      <c r="H126">
        <f>TEXT(A126,"mmm")</f>
        <v/>
      </c>
    </row>
    <row r="127">
      <c r="A127" s="6" t="n">
        <v>45785</v>
      </c>
      <c r="B127" t="inlineStr">
        <is>
          <t>Expense</t>
        </is>
      </c>
      <c r="C127" t="inlineStr">
        <is>
          <t>Clothing</t>
        </is>
      </c>
      <c r="D127" t="inlineStr">
        <is>
          <t>Winter Wear</t>
        </is>
      </c>
      <c r="E127" s="7" t="n">
        <v>701.95</v>
      </c>
      <c r="F127" t="inlineStr">
        <is>
          <t>UPI</t>
        </is>
      </c>
      <c r="G127">
        <f>MONTH(A127)</f>
        <v/>
      </c>
      <c r="H127">
        <f>TEXT(A127,"mmm")</f>
        <v/>
      </c>
    </row>
    <row r="128">
      <c r="A128" s="6" t="n">
        <v>45931</v>
      </c>
      <c r="B128" t="inlineStr">
        <is>
          <t>Income</t>
        </is>
      </c>
      <c r="C128" t="inlineStr">
        <is>
          <t>Pocket Money</t>
        </is>
      </c>
      <c r="D128" t="inlineStr">
        <is>
          <t>Monthly Allowance from Parents</t>
        </is>
      </c>
      <c r="E128" s="7" t="n">
        <v>8000</v>
      </c>
      <c r="F128" t="inlineStr">
        <is>
          <t>Net Banking</t>
        </is>
      </c>
      <c r="G128">
        <f>MONTH(A128)</f>
        <v/>
      </c>
      <c r="H128">
        <f>TEXT(A128,"mmm")</f>
        <v/>
      </c>
    </row>
    <row r="129">
      <c r="A129" s="6" t="n">
        <v>45870</v>
      </c>
      <c r="B129" t="inlineStr">
        <is>
          <t>Income</t>
        </is>
      </c>
      <c r="C129" t="inlineStr">
        <is>
          <t>Pocket Money</t>
        </is>
      </c>
      <c r="D129" t="inlineStr">
        <is>
          <t>Monthly Allowance from Parents</t>
        </is>
      </c>
      <c r="E129" s="7" t="n">
        <v>8000</v>
      </c>
      <c r="F129" t="inlineStr">
        <is>
          <t>Net Banking</t>
        </is>
      </c>
      <c r="G129">
        <f>MONTH(A129)</f>
        <v/>
      </c>
      <c r="H129">
        <f>TEXT(A129,"mmm")</f>
        <v/>
      </c>
    </row>
    <row r="130">
      <c r="A130" s="6" t="n">
        <v>45824</v>
      </c>
      <c r="B130" t="inlineStr">
        <is>
          <t>Expense</t>
        </is>
      </c>
      <c r="C130" t="inlineStr">
        <is>
          <t>Food &amp; Snacks</t>
        </is>
      </c>
      <c r="D130" t="inlineStr">
        <is>
          <t>Canteen</t>
        </is>
      </c>
      <c r="E130" s="7" t="n">
        <v>244.62</v>
      </c>
      <c r="F130" t="inlineStr">
        <is>
          <t>Card</t>
        </is>
      </c>
      <c r="G130">
        <f>MONTH(A130)</f>
        <v/>
      </c>
      <c r="H130">
        <f>TEXT(A130,"mmm")</f>
        <v/>
      </c>
    </row>
    <row r="131">
      <c r="A131" s="6" t="n">
        <v>45992</v>
      </c>
      <c r="B131" t="inlineStr">
        <is>
          <t>Income</t>
        </is>
      </c>
      <c r="C131" t="inlineStr">
        <is>
          <t>Pocket Money</t>
        </is>
      </c>
      <c r="D131" t="inlineStr">
        <is>
          <t>Monthly Allowance from Parents</t>
        </is>
      </c>
      <c r="E131" s="7" t="n">
        <v>8000</v>
      </c>
      <c r="F131" t="inlineStr">
        <is>
          <t>Net Banking</t>
        </is>
      </c>
      <c r="G131">
        <f>MONTH(A131)</f>
        <v/>
      </c>
      <c r="H131">
        <f>TEXT(A131,"mmm")</f>
        <v/>
      </c>
    </row>
    <row r="132">
      <c r="A132" s="6" t="n">
        <v>45951</v>
      </c>
      <c r="B132" t="inlineStr">
        <is>
          <t>Expense</t>
        </is>
      </c>
      <c r="C132" t="inlineStr">
        <is>
          <t>Transportation</t>
        </is>
      </c>
      <c r="D132" t="inlineStr">
        <is>
          <t>Auto/Rickshaw</t>
        </is>
      </c>
      <c r="E132" s="7" t="n">
        <v>65.84999999999999</v>
      </c>
      <c r="F132" t="inlineStr">
        <is>
          <t>Cash</t>
        </is>
      </c>
      <c r="G132">
        <f>MONTH(A132)</f>
        <v/>
      </c>
      <c r="H132">
        <f>TEXT(A132,"mmm")</f>
        <v/>
      </c>
    </row>
    <row r="133">
      <c r="A133" s="6" t="n">
        <v>45734</v>
      </c>
      <c r="B133" t="inlineStr">
        <is>
          <t>Expense</t>
        </is>
      </c>
      <c r="C133" t="inlineStr">
        <is>
          <t>Transportation</t>
        </is>
      </c>
      <c r="D133" t="inlineStr">
        <is>
          <t>Bus Fare</t>
        </is>
      </c>
      <c r="E133" s="7" t="n">
        <v>23.82</v>
      </c>
      <c r="F133" t="inlineStr">
        <is>
          <t>Card</t>
        </is>
      </c>
      <c r="G133">
        <f>MONTH(A133)</f>
        <v/>
      </c>
      <c r="H133">
        <f>TEXT(A133,"mmm")</f>
        <v/>
      </c>
    </row>
    <row r="134">
      <c r="A134" s="6" t="n">
        <v>45658</v>
      </c>
      <c r="B134" t="inlineStr">
        <is>
          <t>Expense</t>
        </is>
      </c>
      <c r="C134" t="inlineStr">
        <is>
          <t>Food &amp; Snacks</t>
        </is>
      </c>
      <c r="D134" t="inlineStr">
        <is>
          <t>Restaurant</t>
        </is>
      </c>
      <c r="E134" s="7" t="n">
        <v>203.73</v>
      </c>
      <c r="F134" t="inlineStr">
        <is>
          <t>Cash</t>
        </is>
      </c>
      <c r="G134">
        <f>MONTH(A134)</f>
        <v/>
      </c>
      <c r="H134">
        <f>TEXT(A134,"mmm")</f>
        <v/>
      </c>
    </row>
    <row r="135">
      <c r="A135" s="6" t="n">
        <v>45774</v>
      </c>
      <c r="B135" t="inlineStr">
        <is>
          <t>Expense</t>
        </is>
      </c>
      <c r="C135" t="inlineStr">
        <is>
          <t>Transportation</t>
        </is>
      </c>
      <c r="D135" t="inlineStr">
        <is>
          <t>Auto/Rickshaw</t>
        </is>
      </c>
      <c r="E135" s="7" t="n">
        <v>35.39</v>
      </c>
      <c r="F135" t="inlineStr">
        <is>
          <t>Card</t>
        </is>
      </c>
      <c r="G135">
        <f>MONTH(A135)</f>
        <v/>
      </c>
      <c r="H135">
        <f>TEXT(A135,"mmm")</f>
        <v/>
      </c>
    </row>
    <row r="136">
      <c r="A136" s="6" t="n">
        <v>45824</v>
      </c>
      <c r="B136" t="inlineStr">
        <is>
          <t>Expense</t>
        </is>
      </c>
      <c r="C136" t="inlineStr">
        <is>
          <t>Miscellaneous</t>
        </is>
      </c>
      <c r="D136" t="inlineStr">
        <is>
          <t>Donation</t>
        </is>
      </c>
      <c r="E136" s="7" t="n">
        <v>273.56</v>
      </c>
      <c r="F136" t="inlineStr">
        <is>
          <t>UPI</t>
        </is>
      </c>
      <c r="G136">
        <f>MONTH(A136)</f>
        <v/>
      </c>
      <c r="H136">
        <f>TEXT(A136,"mmm")</f>
        <v/>
      </c>
    </row>
    <row r="137">
      <c r="A137" s="6" t="n">
        <v>45809</v>
      </c>
      <c r="B137" t="inlineStr">
        <is>
          <t>Income</t>
        </is>
      </c>
      <c r="C137" t="inlineStr">
        <is>
          <t>Pocket Money</t>
        </is>
      </c>
      <c r="D137" t="inlineStr">
        <is>
          <t>Monthly Allowance from Parents</t>
        </is>
      </c>
      <c r="E137" s="7" t="n">
        <v>8000</v>
      </c>
      <c r="F137" t="inlineStr">
        <is>
          <t>Net Banking</t>
        </is>
      </c>
      <c r="G137">
        <f>MONTH(A137)</f>
        <v/>
      </c>
      <c r="H137">
        <f>TEXT(A137,"mmm")</f>
        <v/>
      </c>
    </row>
    <row r="138">
      <c r="A138" s="6" t="n">
        <v>45939</v>
      </c>
      <c r="B138" t="inlineStr">
        <is>
          <t>Expense</t>
        </is>
      </c>
      <c r="C138" t="inlineStr">
        <is>
          <t>Savings</t>
        </is>
      </c>
      <c r="D138" t="inlineStr">
        <is>
          <t>Transfer to Savings Account</t>
        </is>
      </c>
      <c r="E138" s="7" t="n">
        <v>1136.05</v>
      </c>
      <c r="F138" t="inlineStr">
        <is>
          <t>Net Banking</t>
        </is>
      </c>
      <c r="G138">
        <f>MONTH(A138)</f>
        <v/>
      </c>
      <c r="H138">
        <f>TEXT(A138,"mmm")</f>
        <v/>
      </c>
    </row>
    <row r="139">
      <c r="A139" s="6" t="n">
        <v>45952</v>
      </c>
      <c r="B139" t="inlineStr">
        <is>
          <t>Expense</t>
        </is>
      </c>
      <c r="C139" t="inlineStr">
        <is>
          <t>Food &amp; Snacks</t>
        </is>
      </c>
      <c r="D139" t="inlineStr">
        <is>
          <t>Tiffin</t>
        </is>
      </c>
      <c r="E139" s="7" t="n">
        <v>200.7</v>
      </c>
      <c r="F139" t="inlineStr">
        <is>
          <t>Net Banking</t>
        </is>
      </c>
      <c r="G139">
        <f>MONTH(A139)</f>
        <v/>
      </c>
      <c r="H139">
        <f>TEXT(A139,"mmm")</f>
        <v/>
      </c>
    </row>
    <row r="140">
      <c r="A140" s="6" t="n">
        <v>45925</v>
      </c>
      <c r="B140" t="inlineStr">
        <is>
          <t>Expense</t>
        </is>
      </c>
      <c r="C140" t="inlineStr">
        <is>
          <t>Entertainment</t>
        </is>
      </c>
      <c r="D140" t="inlineStr">
        <is>
          <t>Event Ticket</t>
        </is>
      </c>
      <c r="E140" s="7" t="n">
        <v>237.14</v>
      </c>
      <c r="F140" t="inlineStr">
        <is>
          <t>UPI</t>
        </is>
      </c>
      <c r="G140">
        <f>MONTH(A140)</f>
        <v/>
      </c>
      <c r="H140">
        <f>TEXT(A140,"mmm")</f>
        <v/>
      </c>
    </row>
    <row r="141">
      <c r="A141" s="6" t="n">
        <v>45706</v>
      </c>
      <c r="B141" t="inlineStr">
        <is>
          <t>Expense</t>
        </is>
      </c>
      <c r="C141" t="inlineStr">
        <is>
          <t>Food &amp; Snacks</t>
        </is>
      </c>
      <c r="D141" t="inlineStr">
        <is>
          <t>Grocery</t>
        </is>
      </c>
      <c r="E141" s="7" t="n">
        <v>89.51000000000001</v>
      </c>
      <c r="F141" t="inlineStr">
        <is>
          <t>Net Banking</t>
        </is>
      </c>
      <c r="G141">
        <f>MONTH(A141)</f>
        <v/>
      </c>
      <c r="H141">
        <f>TEXT(A141,"mmm")</f>
        <v/>
      </c>
    </row>
    <row r="142">
      <c r="A142" s="6" t="n">
        <v>45667</v>
      </c>
      <c r="B142" t="inlineStr">
        <is>
          <t>Expense</t>
        </is>
      </c>
      <c r="C142" t="inlineStr">
        <is>
          <t>Entertainment</t>
        </is>
      </c>
      <c r="D142" t="inlineStr">
        <is>
          <t>OTT Rental</t>
        </is>
      </c>
      <c r="E142" s="7" t="n">
        <v>216.55</v>
      </c>
      <c r="F142" t="inlineStr">
        <is>
          <t>Card</t>
        </is>
      </c>
      <c r="G142">
        <f>MONTH(A142)</f>
        <v/>
      </c>
      <c r="H142">
        <f>TEXT(A142,"mmm")</f>
        <v/>
      </c>
    </row>
    <row r="143">
      <c r="A143" s="6" t="n">
        <v>45886</v>
      </c>
      <c r="B143" t="inlineStr">
        <is>
          <t>Expense</t>
        </is>
      </c>
      <c r="C143" t="inlineStr">
        <is>
          <t>Transportation</t>
        </is>
      </c>
      <c r="D143" t="inlineStr">
        <is>
          <t>Metro Card Recharge</t>
        </is>
      </c>
      <c r="E143" s="7" t="n">
        <v>48.11</v>
      </c>
      <c r="F143" t="inlineStr">
        <is>
          <t>UPI</t>
        </is>
      </c>
      <c r="G143">
        <f>MONTH(A143)</f>
        <v/>
      </c>
      <c r="H143">
        <f>TEXT(A143,"mmm")</f>
        <v/>
      </c>
    </row>
    <row r="144">
      <c r="A144" s="6" t="n">
        <v>45954</v>
      </c>
      <c r="B144" t="inlineStr">
        <is>
          <t>Expense</t>
        </is>
      </c>
      <c r="C144" t="inlineStr">
        <is>
          <t>Food &amp; Snacks</t>
        </is>
      </c>
      <c r="D144" t="inlineStr">
        <is>
          <t>Tea/Snacks</t>
        </is>
      </c>
      <c r="E144" s="7" t="n">
        <v>127.15</v>
      </c>
      <c r="F144" t="inlineStr">
        <is>
          <t>UPI</t>
        </is>
      </c>
      <c r="G144">
        <f>MONTH(A144)</f>
        <v/>
      </c>
      <c r="H144">
        <f>TEXT(A144,"mmm")</f>
        <v/>
      </c>
    </row>
    <row r="145">
      <c r="A145" s="6" t="n">
        <v>45918</v>
      </c>
      <c r="B145" t="inlineStr">
        <is>
          <t>Income</t>
        </is>
      </c>
      <c r="C145" t="inlineStr">
        <is>
          <t>Refund</t>
        </is>
      </c>
      <c r="D145" t="inlineStr">
        <is>
          <t>Refund for Returned Item</t>
        </is>
      </c>
      <c r="E145" s="7" t="n">
        <v>327.07</v>
      </c>
      <c r="F145" t="inlineStr">
        <is>
          <t>UPI</t>
        </is>
      </c>
      <c r="G145">
        <f>MONTH(A145)</f>
        <v/>
      </c>
      <c r="H145">
        <f>TEXT(A145,"mmm")</f>
        <v/>
      </c>
    </row>
    <row r="146">
      <c r="A146" s="6" t="n">
        <v>45777</v>
      </c>
      <c r="B146" t="inlineStr">
        <is>
          <t>Expense</t>
        </is>
      </c>
      <c r="C146" t="inlineStr">
        <is>
          <t>Clothing</t>
        </is>
      </c>
      <c r="D146" t="inlineStr">
        <is>
          <t>Footwear</t>
        </is>
      </c>
      <c r="E146" s="7" t="n">
        <v>1482.62</v>
      </c>
      <c r="F146" t="inlineStr">
        <is>
          <t>UPI</t>
        </is>
      </c>
      <c r="G146">
        <f>MONTH(A146)</f>
        <v/>
      </c>
      <c r="H146">
        <f>TEXT(A146,"mmm")</f>
        <v/>
      </c>
    </row>
    <row r="147">
      <c r="A147" s="6" t="n">
        <v>46004</v>
      </c>
      <c r="B147" t="inlineStr">
        <is>
          <t>Expense</t>
        </is>
      </c>
      <c r="C147" t="inlineStr">
        <is>
          <t>Transportation</t>
        </is>
      </c>
      <c r="D147" t="inlineStr">
        <is>
          <t>Fuel</t>
        </is>
      </c>
      <c r="E147" s="7" t="n">
        <v>64.53</v>
      </c>
      <c r="F147" t="inlineStr">
        <is>
          <t>Net Banking</t>
        </is>
      </c>
      <c r="G147">
        <f>MONTH(A147)</f>
        <v/>
      </c>
      <c r="H147">
        <f>TEXT(A147,"mmm")</f>
        <v/>
      </c>
    </row>
    <row r="148">
      <c r="A148" s="6" t="n">
        <v>45782</v>
      </c>
      <c r="B148" t="inlineStr">
        <is>
          <t>Expense</t>
        </is>
      </c>
      <c r="C148" t="inlineStr">
        <is>
          <t>Food &amp; Snacks</t>
        </is>
      </c>
      <c r="D148" t="inlineStr">
        <is>
          <t>Tiffin</t>
        </is>
      </c>
      <c r="E148" s="7" t="n">
        <v>220.11</v>
      </c>
      <c r="F148" t="inlineStr">
        <is>
          <t>Cash</t>
        </is>
      </c>
      <c r="G148">
        <f>MONTH(A148)</f>
        <v/>
      </c>
      <c r="H148">
        <f>TEXT(A148,"mmm")</f>
        <v/>
      </c>
    </row>
    <row r="149">
      <c r="A149" s="6" t="n">
        <v>45764</v>
      </c>
      <c r="B149" t="inlineStr">
        <is>
          <t>Expense</t>
        </is>
      </c>
      <c r="C149" t="inlineStr">
        <is>
          <t>Personal Care</t>
        </is>
      </c>
      <c r="D149" t="inlineStr">
        <is>
          <t>Haircut</t>
        </is>
      </c>
      <c r="E149" s="7" t="n">
        <v>66.29000000000001</v>
      </c>
      <c r="F149" t="inlineStr">
        <is>
          <t>Cash</t>
        </is>
      </c>
      <c r="G149">
        <f>MONTH(A149)</f>
        <v/>
      </c>
      <c r="H149">
        <f>TEXT(A149,"mmm")</f>
        <v/>
      </c>
    </row>
    <row r="150">
      <c r="A150" s="6" t="n">
        <v>45952</v>
      </c>
      <c r="B150" t="inlineStr">
        <is>
          <t>Expense</t>
        </is>
      </c>
      <c r="C150" t="inlineStr">
        <is>
          <t>Clothing</t>
        </is>
      </c>
      <c r="D150" t="inlineStr">
        <is>
          <t>Footwear</t>
        </is>
      </c>
      <c r="E150" s="7" t="n">
        <v>1273.71</v>
      </c>
      <c r="F150" t="inlineStr">
        <is>
          <t>UPI</t>
        </is>
      </c>
      <c r="G150">
        <f>MONTH(A150)</f>
        <v/>
      </c>
      <c r="H150">
        <f>TEXT(A150,"mmm")</f>
        <v/>
      </c>
    </row>
    <row r="151">
      <c r="A151" s="6" t="n">
        <v>45690</v>
      </c>
      <c r="B151" t="inlineStr">
        <is>
          <t>Expense</t>
        </is>
      </c>
      <c r="C151" t="inlineStr">
        <is>
          <t>Food &amp; Snacks</t>
        </is>
      </c>
      <c r="D151" t="inlineStr">
        <is>
          <t>Mess Bill</t>
        </is>
      </c>
      <c r="E151" s="7" t="n">
        <v>83.81999999999999</v>
      </c>
      <c r="F151" t="inlineStr">
        <is>
          <t>Net Banking</t>
        </is>
      </c>
      <c r="G151">
        <f>MONTH(A151)</f>
        <v/>
      </c>
      <c r="H151">
        <f>TEXT(A151,"mmm")</f>
        <v/>
      </c>
    </row>
    <row r="152">
      <c r="A152" s="6" t="n">
        <v>45876</v>
      </c>
      <c r="B152" t="inlineStr">
        <is>
          <t>Expense</t>
        </is>
      </c>
      <c r="C152" t="inlineStr">
        <is>
          <t>Food &amp; Snacks</t>
        </is>
      </c>
      <c r="D152" t="inlineStr">
        <is>
          <t>Restaurant</t>
        </is>
      </c>
      <c r="E152" s="7" t="n">
        <v>217.71</v>
      </c>
      <c r="F152" t="inlineStr">
        <is>
          <t>Card</t>
        </is>
      </c>
      <c r="G152">
        <f>MONTH(A152)</f>
        <v/>
      </c>
      <c r="H152">
        <f>TEXT(A152,"mmm")</f>
        <v/>
      </c>
    </row>
    <row r="153">
      <c r="A153" s="6" t="n">
        <v>45921</v>
      </c>
      <c r="B153" t="inlineStr">
        <is>
          <t>Expense</t>
        </is>
      </c>
      <c r="C153" t="inlineStr">
        <is>
          <t>Transportation</t>
        </is>
      </c>
      <c r="D153" t="inlineStr">
        <is>
          <t>Cab Ride</t>
        </is>
      </c>
      <c r="E153" s="7" t="n">
        <v>96.40000000000001</v>
      </c>
      <c r="F153" t="inlineStr">
        <is>
          <t>UPI</t>
        </is>
      </c>
      <c r="G153">
        <f>MONTH(A153)</f>
        <v/>
      </c>
      <c r="H153">
        <f>TEXT(A153,"mmm")</f>
        <v/>
      </c>
    </row>
    <row r="154">
      <c r="A154" s="6" t="n">
        <v>45958</v>
      </c>
      <c r="B154" t="inlineStr">
        <is>
          <t>Expense</t>
        </is>
      </c>
      <c r="C154" t="inlineStr">
        <is>
          <t>Entertainment</t>
        </is>
      </c>
      <c r="D154" t="inlineStr">
        <is>
          <t>Gaming</t>
        </is>
      </c>
      <c r="E154" s="7" t="n">
        <v>308.75</v>
      </c>
      <c r="F154" t="inlineStr">
        <is>
          <t>UPI</t>
        </is>
      </c>
      <c r="G154">
        <f>MONTH(A154)</f>
        <v/>
      </c>
      <c r="H154">
        <f>TEXT(A154,"mmm")</f>
        <v/>
      </c>
    </row>
    <row r="155">
      <c r="A155" s="6" t="n">
        <v>45927</v>
      </c>
      <c r="B155" t="inlineStr">
        <is>
          <t>Expense</t>
        </is>
      </c>
      <c r="C155" t="inlineStr">
        <is>
          <t>Transportation</t>
        </is>
      </c>
      <c r="D155" t="inlineStr">
        <is>
          <t>Cab Ride</t>
        </is>
      </c>
      <c r="E155" s="7" t="n">
        <v>33.12</v>
      </c>
      <c r="F155" t="inlineStr">
        <is>
          <t>Card</t>
        </is>
      </c>
      <c r="G155">
        <f>MONTH(A155)</f>
        <v/>
      </c>
      <c r="H155">
        <f>TEXT(A155,"mmm")</f>
        <v/>
      </c>
    </row>
    <row r="156">
      <c r="A156" s="6" t="n">
        <v>45733</v>
      </c>
      <c r="B156" t="inlineStr">
        <is>
          <t>Expense</t>
        </is>
      </c>
      <c r="C156" t="inlineStr">
        <is>
          <t>Transportation</t>
        </is>
      </c>
      <c r="D156" t="inlineStr">
        <is>
          <t>Metro Card Recharge</t>
        </is>
      </c>
      <c r="E156" s="7" t="n">
        <v>43.57</v>
      </c>
      <c r="F156" t="inlineStr">
        <is>
          <t>Net Banking</t>
        </is>
      </c>
      <c r="G156">
        <f>MONTH(A156)</f>
        <v/>
      </c>
      <c r="H156">
        <f>TEXT(A156,"mmm")</f>
        <v/>
      </c>
    </row>
    <row r="157">
      <c r="A157" s="6" t="n">
        <v>45857</v>
      </c>
      <c r="B157" t="inlineStr">
        <is>
          <t>Expense</t>
        </is>
      </c>
      <c r="C157" t="inlineStr">
        <is>
          <t>Transportation</t>
        </is>
      </c>
      <c r="D157" t="inlineStr">
        <is>
          <t>Fuel</t>
        </is>
      </c>
      <c r="E157" s="7" t="n">
        <v>66.08</v>
      </c>
      <c r="F157" t="inlineStr">
        <is>
          <t>Card</t>
        </is>
      </c>
      <c r="G157">
        <f>MONTH(A157)</f>
        <v/>
      </c>
      <c r="H157">
        <f>TEXT(A157,"mmm")</f>
        <v/>
      </c>
    </row>
    <row r="158">
      <c r="A158" s="6" t="n">
        <v>45834</v>
      </c>
      <c r="B158" t="inlineStr">
        <is>
          <t>Expense</t>
        </is>
      </c>
      <c r="C158" t="inlineStr">
        <is>
          <t>Clothing</t>
        </is>
      </c>
      <c r="D158" t="inlineStr">
        <is>
          <t>Festive Shopping</t>
        </is>
      </c>
      <c r="E158" s="7" t="n">
        <v>579.39</v>
      </c>
      <c r="F158" t="inlineStr">
        <is>
          <t>Card</t>
        </is>
      </c>
      <c r="G158">
        <f>MONTH(A158)</f>
        <v/>
      </c>
      <c r="H158">
        <f>TEXT(A158,"mmm")</f>
        <v/>
      </c>
    </row>
    <row r="159">
      <c r="A159" s="6" t="n">
        <v>45876</v>
      </c>
      <c r="B159" t="inlineStr">
        <is>
          <t>Expense</t>
        </is>
      </c>
      <c r="C159" t="inlineStr">
        <is>
          <t>Transportation</t>
        </is>
      </c>
      <c r="D159" t="inlineStr">
        <is>
          <t>Metro Card Recharge</t>
        </is>
      </c>
      <c r="E159" s="7" t="n">
        <v>48.26</v>
      </c>
      <c r="F159" t="inlineStr">
        <is>
          <t>UPI</t>
        </is>
      </c>
      <c r="G159">
        <f>MONTH(A159)</f>
        <v/>
      </c>
      <c r="H159">
        <f>TEXT(A159,"mmm")</f>
        <v/>
      </c>
    </row>
    <row r="160">
      <c r="A160" s="6" t="n">
        <v>45727</v>
      </c>
      <c r="B160" t="inlineStr">
        <is>
          <t>Expense</t>
        </is>
      </c>
      <c r="C160" t="inlineStr">
        <is>
          <t>Transportation</t>
        </is>
      </c>
      <c r="D160" t="inlineStr">
        <is>
          <t>Fuel</t>
        </is>
      </c>
      <c r="E160" s="7" t="n">
        <v>99.25</v>
      </c>
      <c r="F160" t="inlineStr">
        <is>
          <t>UPI</t>
        </is>
      </c>
      <c r="G160">
        <f>MONTH(A160)</f>
        <v/>
      </c>
      <c r="H160">
        <f>TEXT(A160,"mmm")</f>
        <v/>
      </c>
    </row>
    <row r="161">
      <c r="A161" s="6" t="n">
        <v>45904</v>
      </c>
      <c r="B161" t="inlineStr">
        <is>
          <t>Expense</t>
        </is>
      </c>
      <c r="C161" t="inlineStr">
        <is>
          <t>Food &amp; Snacks</t>
        </is>
      </c>
      <c r="D161" t="inlineStr">
        <is>
          <t>Tea/Snacks</t>
        </is>
      </c>
      <c r="E161" s="7" t="n">
        <v>234.64</v>
      </c>
      <c r="F161" t="inlineStr">
        <is>
          <t>UPI</t>
        </is>
      </c>
      <c r="G161">
        <f>MONTH(A161)</f>
        <v/>
      </c>
      <c r="H161">
        <f>TEXT(A161,"mmm")</f>
        <v/>
      </c>
    </row>
    <row r="162">
      <c r="A162" s="6" t="n">
        <v>45748</v>
      </c>
      <c r="B162" t="inlineStr">
        <is>
          <t>Income</t>
        </is>
      </c>
      <c r="C162" t="inlineStr">
        <is>
          <t>Pocket Money</t>
        </is>
      </c>
      <c r="D162" t="inlineStr">
        <is>
          <t>Monthly Allowance from Parents</t>
        </is>
      </c>
      <c r="E162" s="7" t="n">
        <v>8000</v>
      </c>
      <c r="F162" t="inlineStr">
        <is>
          <t>Net Banking</t>
        </is>
      </c>
      <c r="G162">
        <f>MONTH(A162)</f>
        <v/>
      </c>
      <c r="H162">
        <f>TEXT(A162,"mmm")</f>
        <v/>
      </c>
    </row>
    <row r="163">
      <c r="A163" s="6" t="n">
        <v>45980</v>
      </c>
      <c r="B163" t="inlineStr">
        <is>
          <t>Expense</t>
        </is>
      </c>
      <c r="C163" t="inlineStr">
        <is>
          <t>Education</t>
        </is>
      </c>
      <c r="D163" t="inlineStr">
        <is>
          <t>Stationery</t>
        </is>
      </c>
      <c r="E163" s="7" t="n">
        <v>444.52</v>
      </c>
      <c r="F163" t="inlineStr">
        <is>
          <t>Cash</t>
        </is>
      </c>
      <c r="G163">
        <f>MONTH(A163)</f>
        <v/>
      </c>
      <c r="H163">
        <f>TEXT(A163,"mmm")</f>
        <v/>
      </c>
    </row>
    <row r="164">
      <c r="A164" s="6" t="n">
        <v>46016</v>
      </c>
      <c r="B164" t="inlineStr">
        <is>
          <t>Expense</t>
        </is>
      </c>
      <c r="C164" t="inlineStr">
        <is>
          <t>Transportation</t>
        </is>
      </c>
      <c r="D164" t="inlineStr">
        <is>
          <t>Auto/Rickshaw</t>
        </is>
      </c>
      <c r="E164" s="7" t="n">
        <v>62.57</v>
      </c>
      <c r="F164" t="inlineStr">
        <is>
          <t>UPI</t>
        </is>
      </c>
      <c r="G164">
        <f>MONTH(A164)</f>
        <v/>
      </c>
      <c r="H164">
        <f>TEXT(A164,"mmm")</f>
        <v/>
      </c>
    </row>
    <row r="165">
      <c r="A165" s="6" t="n">
        <v>45937</v>
      </c>
      <c r="B165" t="inlineStr">
        <is>
          <t>Expense</t>
        </is>
      </c>
      <c r="C165" t="inlineStr">
        <is>
          <t>Food &amp; Snacks</t>
        </is>
      </c>
      <c r="D165" t="inlineStr">
        <is>
          <t>Grocery</t>
        </is>
      </c>
      <c r="E165" s="7" t="n">
        <v>169.81</v>
      </c>
      <c r="F165" t="inlineStr">
        <is>
          <t>UPI</t>
        </is>
      </c>
      <c r="G165">
        <f>MONTH(A165)</f>
        <v/>
      </c>
      <c r="H165">
        <f>TEXT(A165,"mmm")</f>
        <v/>
      </c>
    </row>
    <row r="166">
      <c r="A166" s="6" t="n">
        <v>45994</v>
      </c>
      <c r="B166" t="inlineStr">
        <is>
          <t>Expense</t>
        </is>
      </c>
      <c r="C166" t="inlineStr">
        <is>
          <t>Transportation</t>
        </is>
      </c>
      <c r="D166" t="inlineStr">
        <is>
          <t>Metro Card Recharge</t>
        </is>
      </c>
      <c r="E166" s="7" t="n">
        <v>32.93</v>
      </c>
      <c r="F166" t="inlineStr">
        <is>
          <t>UPI</t>
        </is>
      </c>
      <c r="G166">
        <f>MONTH(A166)</f>
        <v/>
      </c>
      <c r="H166">
        <f>TEXT(A166,"mmm")</f>
        <v/>
      </c>
    </row>
    <row r="167">
      <c r="A167" s="6" t="n">
        <v>45696</v>
      </c>
      <c r="B167" t="inlineStr">
        <is>
          <t>Expense</t>
        </is>
      </c>
      <c r="C167" t="inlineStr">
        <is>
          <t>Subscriptions</t>
        </is>
      </c>
      <c r="D167" t="inlineStr">
        <is>
          <t>Netflix/OTT Share</t>
        </is>
      </c>
      <c r="E167" s="7" t="n">
        <v>186.07</v>
      </c>
      <c r="F167" t="inlineStr">
        <is>
          <t>Card</t>
        </is>
      </c>
      <c r="G167">
        <f>MONTH(A167)</f>
        <v/>
      </c>
      <c r="H167">
        <f>TEXT(A167,"mmm")</f>
        <v/>
      </c>
    </row>
    <row r="168">
      <c r="A168" s="6" t="n">
        <v>45828</v>
      </c>
      <c r="B168" t="inlineStr">
        <is>
          <t>Expense</t>
        </is>
      </c>
      <c r="C168" t="inlineStr">
        <is>
          <t>Entertainment</t>
        </is>
      </c>
      <c r="D168" t="inlineStr">
        <is>
          <t>OTT Rental</t>
        </is>
      </c>
      <c r="E168" s="7" t="n">
        <v>252.76</v>
      </c>
      <c r="F168" t="inlineStr">
        <is>
          <t>UPI</t>
        </is>
      </c>
      <c r="G168">
        <f>MONTH(A168)</f>
        <v/>
      </c>
      <c r="H168">
        <f>TEXT(A168,"mmm")</f>
        <v/>
      </c>
    </row>
    <row r="169">
      <c r="A169" s="6" t="n">
        <v>45833</v>
      </c>
      <c r="B169" t="inlineStr">
        <is>
          <t>Expense</t>
        </is>
      </c>
      <c r="C169" t="inlineStr">
        <is>
          <t>Savings</t>
        </is>
      </c>
      <c r="D169" t="inlineStr">
        <is>
          <t>Transfer to Savings Account</t>
        </is>
      </c>
      <c r="E169" s="7" t="n">
        <v>697.85</v>
      </c>
      <c r="F169" t="inlineStr">
        <is>
          <t>Card</t>
        </is>
      </c>
      <c r="G169">
        <f>MONTH(A169)</f>
        <v/>
      </c>
      <c r="H169">
        <f>TEXT(A169,"mmm")</f>
        <v/>
      </c>
    </row>
    <row r="170">
      <c r="A170" s="6" t="n">
        <v>45739</v>
      </c>
      <c r="B170" t="inlineStr">
        <is>
          <t>Expense</t>
        </is>
      </c>
      <c r="C170" t="inlineStr">
        <is>
          <t>Education</t>
        </is>
      </c>
      <c r="D170" t="inlineStr">
        <is>
          <t>Reference Book</t>
        </is>
      </c>
      <c r="E170" s="7" t="n">
        <v>273.93</v>
      </c>
      <c r="F170" t="inlineStr">
        <is>
          <t>UPI</t>
        </is>
      </c>
      <c r="G170">
        <f>MONTH(A170)</f>
        <v/>
      </c>
      <c r="H170">
        <f>TEXT(A170,"mmm")</f>
        <v/>
      </c>
    </row>
    <row r="171">
      <c r="A171" s="6" t="n">
        <v>45894</v>
      </c>
      <c r="B171" t="inlineStr">
        <is>
          <t>Expense</t>
        </is>
      </c>
      <c r="C171" t="inlineStr">
        <is>
          <t>Entertainment</t>
        </is>
      </c>
      <c r="D171" t="inlineStr">
        <is>
          <t>Movie Ticket</t>
        </is>
      </c>
      <c r="E171" s="7" t="n">
        <v>492.15</v>
      </c>
      <c r="F171" t="inlineStr">
        <is>
          <t>UPI</t>
        </is>
      </c>
      <c r="G171">
        <f>MONTH(A171)</f>
        <v/>
      </c>
      <c r="H171">
        <f>TEXT(A171,"mmm")</f>
        <v/>
      </c>
    </row>
    <row r="172">
      <c r="A172" s="6" t="n">
        <v>45765</v>
      </c>
      <c r="B172" t="inlineStr">
        <is>
          <t>Expense</t>
        </is>
      </c>
      <c r="C172" t="inlineStr">
        <is>
          <t>Miscellaneous</t>
        </is>
      </c>
      <c r="D172" t="inlineStr">
        <is>
          <t>Repairs</t>
        </is>
      </c>
      <c r="E172" s="7" t="n">
        <v>131.91</v>
      </c>
      <c r="F172" t="inlineStr">
        <is>
          <t>Cash</t>
        </is>
      </c>
      <c r="G172">
        <f>MONTH(A172)</f>
        <v/>
      </c>
      <c r="H172">
        <f>TEXT(A172,"mmm")</f>
        <v/>
      </c>
    </row>
    <row r="173">
      <c r="A173" s="6" t="n">
        <v>45821</v>
      </c>
      <c r="B173" t="inlineStr">
        <is>
          <t>Expense</t>
        </is>
      </c>
      <c r="C173" t="inlineStr">
        <is>
          <t>Transportation</t>
        </is>
      </c>
      <c r="D173" t="inlineStr">
        <is>
          <t>Bus Fare</t>
        </is>
      </c>
      <c r="E173" s="7" t="n">
        <v>33.08</v>
      </c>
      <c r="F173" t="inlineStr">
        <is>
          <t>UPI</t>
        </is>
      </c>
      <c r="G173">
        <f>MONTH(A173)</f>
        <v/>
      </c>
      <c r="H173">
        <f>TEXT(A173,"mmm")</f>
        <v/>
      </c>
    </row>
    <row r="174">
      <c r="A174" s="6" t="n">
        <v>45878</v>
      </c>
      <c r="B174" t="inlineStr">
        <is>
          <t>Expense</t>
        </is>
      </c>
      <c r="C174" t="inlineStr">
        <is>
          <t>Education</t>
        </is>
      </c>
      <c r="D174" t="inlineStr">
        <is>
          <t>Stationery</t>
        </is>
      </c>
      <c r="E174" s="7" t="n">
        <v>378.95</v>
      </c>
      <c r="F174" t="inlineStr">
        <is>
          <t>UPI</t>
        </is>
      </c>
      <c r="G174">
        <f>MONTH(A174)</f>
        <v/>
      </c>
      <c r="H174">
        <f>TEXT(A174,"mmm")</f>
        <v/>
      </c>
    </row>
    <row r="175">
      <c r="A175" s="6" t="n">
        <v>45736</v>
      </c>
      <c r="B175" t="inlineStr">
        <is>
          <t>Expense</t>
        </is>
      </c>
      <c r="C175" t="inlineStr">
        <is>
          <t>Food &amp; Snacks</t>
        </is>
      </c>
      <c r="D175" t="inlineStr">
        <is>
          <t>Restaurant</t>
        </is>
      </c>
      <c r="E175" s="7" t="n">
        <v>161.46</v>
      </c>
      <c r="F175" t="inlineStr">
        <is>
          <t>Cash</t>
        </is>
      </c>
      <c r="G175">
        <f>MONTH(A175)</f>
        <v/>
      </c>
      <c r="H175">
        <f>TEXT(A175,"mmm")</f>
        <v/>
      </c>
    </row>
    <row r="176">
      <c r="A176" s="6" t="n">
        <v>45945</v>
      </c>
      <c r="B176" t="inlineStr">
        <is>
          <t>Income</t>
        </is>
      </c>
      <c r="C176" t="inlineStr">
        <is>
          <t>Festival Bonus</t>
        </is>
      </c>
      <c r="D176" t="inlineStr">
        <is>
          <t>Diwali Gift from Family</t>
        </is>
      </c>
      <c r="E176" s="7" t="n">
        <v>3288</v>
      </c>
      <c r="F176" t="inlineStr">
        <is>
          <t>Cash</t>
        </is>
      </c>
      <c r="G176">
        <f>MONTH(A176)</f>
        <v/>
      </c>
      <c r="H176">
        <f>TEXT(A176,"mmm")</f>
        <v/>
      </c>
    </row>
    <row r="177">
      <c r="A177" s="6" t="n">
        <v>45939</v>
      </c>
      <c r="B177" t="inlineStr">
        <is>
          <t>Expense</t>
        </is>
      </c>
      <c r="C177" t="inlineStr">
        <is>
          <t>Food &amp; Snacks</t>
        </is>
      </c>
      <c r="D177" t="inlineStr">
        <is>
          <t>Tea/Snacks</t>
        </is>
      </c>
      <c r="E177" s="7" t="n">
        <v>166.94</v>
      </c>
      <c r="F177" t="inlineStr">
        <is>
          <t>Card</t>
        </is>
      </c>
      <c r="G177">
        <f>MONTH(A177)</f>
        <v/>
      </c>
      <c r="H177">
        <f>TEXT(A177,"mmm")</f>
        <v/>
      </c>
    </row>
    <row r="178">
      <c r="A178" s="6" t="n">
        <v>45930</v>
      </c>
      <c r="B178" t="inlineStr">
        <is>
          <t>Expense</t>
        </is>
      </c>
      <c r="C178" t="inlineStr">
        <is>
          <t>Personal Care</t>
        </is>
      </c>
      <c r="D178" t="inlineStr">
        <is>
          <t>Skincare</t>
        </is>
      </c>
      <c r="E178" s="7" t="n">
        <v>125.66</v>
      </c>
      <c r="F178" t="inlineStr">
        <is>
          <t>Net Banking</t>
        </is>
      </c>
      <c r="G178">
        <f>MONTH(A178)</f>
        <v/>
      </c>
      <c r="H178">
        <f>TEXT(A178,"mmm")</f>
        <v/>
      </c>
    </row>
    <row r="179">
      <c r="A179" s="6" t="n">
        <v>45875</v>
      </c>
      <c r="B179" t="inlineStr">
        <is>
          <t>Expense</t>
        </is>
      </c>
      <c r="C179" t="inlineStr">
        <is>
          <t>Savings</t>
        </is>
      </c>
      <c r="D179" t="inlineStr">
        <is>
          <t>Transfer to Savings Account</t>
        </is>
      </c>
      <c r="E179" s="7" t="n">
        <v>1032.26</v>
      </c>
      <c r="F179" t="inlineStr">
        <is>
          <t>UPI</t>
        </is>
      </c>
      <c r="G179">
        <f>MONTH(A179)</f>
        <v/>
      </c>
      <c r="H179">
        <f>TEXT(A179,"mmm")</f>
        <v/>
      </c>
    </row>
    <row r="180">
      <c r="A180" s="6" t="n">
        <v>45947</v>
      </c>
      <c r="B180" t="inlineStr">
        <is>
          <t>Expense</t>
        </is>
      </c>
      <c r="C180" t="inlineStr">
        <is>
          <t>Entertainment</t>
        </is>
      </c>
      <c r="D180" t="inlineStr">
        <is>
          <t>Movie Ticket</t>
        </is>
      </c>
      <c r="E180" s="7" t="n">
        <v>246.21</v>
      </c>
      <c r="F180" t="inlineStr">
        <is>
          <t>Net Banking</t>
        </is>
      </c>
      <c r="G180">
        <f>MONTH(A180)</f>
        <v/>
      </c>
      <c r="H180">
        <f>TEXT(A180,"mmm")</f>
        <v/>
      </c>
    </row>
    <row r="181">
      <c r="A181" s="6" t="n">
        <v>45921</v>
      </c>
      <c r="B181" t="inlineStr">
        <is>
          <t>Expense</t>
        </is>
      </c>
      <c r="C181" t="inlineStr">
        <is>
          <t>Food &amp; Snacks</t>
        </is>
      </c>
      <c r="D181" t="inlineStr">
        <is>
          <t>Mess Bill</t>
        </is>
      </c>
      <c r="E181" s="7" t="n">
        <v>134.32</v>
      </c>
      <c r="F181" t="inlineStr">
        <is>
          <t>UPI</t>
        </is>
      </c>
      <c r="G181">
        <f>MONTH(A181)</f>
        <v/>
      </c>
      <c r="H181">
        <f>TEXT(A181,"mmm")</f>
        <v/>
      </c>
    </row>
    <row r="182">
      <c r="A182" s="6" t="n">
        <v>45748</v>
      </c>
      <c r="B182" t="inlineStr">
        <is>
          <t>Expense</t>
        </is>
      </c>
      <c r="C182" t="inlineStr">
        <is>
          <t>Transportation</t>
        </is>
      </c>
      <c r="D182" t="inlineStr">
        <is>
          <t>Bus Fare</t>
        </is>
      </c>
      <c r="E182" s="7" t="n">
        <v>21.82</v>
      </c>
      <c r="F182" t="inlineStr">
        <is>
          <t>UPI</t>
        </is>
      </c>
      <c r="G182">
        <f>MONTH(A182)</f>
        <v/>
      </c>
      <c r="H182">
        <f>TEXT(A182,"mmm")</f>
        <v/>
      </c>
    </row>
    <row r="183">
      <c r="A183" s="6" t="n">
        <v>45771</v>
      </c>
      <c r="B183" t="inlineStr">
        <is>
          <t>Expense</t>
        </is>
      </c>
      <c r="C183" t="inlineStr">
        <is>
          <t>Entertainment</t>
        </is>
      </c>
      <c r="D183" t="inlineStr">
        <is>
          <t>Gaming</t>
        </is>
      </c>
      <c r="E183" s="7" t="n">
        <v>442.33</v>
      </c>
      <c r="F183" t="inlineStr">
        <is>
          <t>Card</t>
        </is>
      </c>
      <c r="G183">
        <f>MONTH(A183)</f>
        <v/>
      </c>
      <c r="H183">
        <f>TEXT(A183,"mmm")</f>
        <v/>
      </c>
    </row>
    <row r="184">
      <c r="A184" s="6" t="n">
        <v>45672</v>
      </c>
      <c r="B184" t="inlineStr">
        <is>
          <t>Expense</t>
        </is>
      </c>
      <c r="C184" t="inlineStr">
        <is>
          <t>Transportation</t>
        </is>
      </c>
      <c r="D184" t="inlineStr">
        <is>
          <t>Fuel</t>
        </is>
      </c>
      <c r="E184" s="7" t="n">
        <v>96.44</v>
      </c>
      <c r="F184" t="inlineStr">
        <is>
          <t>UPI</t>
        </is>
      </c>
      <c r="G184">
        <f>MONTH(A184)</f>
        <v/>
      </c>
      <c r="H184">
        <f>TEXT(A184,"mmm")</f>
        <v/>
      </c>
    </row>
    <row r="185">
      <c r="A185" s="6" t="n">
        <v>45949</v>
      </c>
      <c r="B185" t="inlineStr">
        <is>
          <t>Expense</t>
        </is>
      </c>
      <c r="C185" t="inlineStr">
        <is>
          <t>Transportation</t>
        </is>
      </c>
      <c r="D185" t="inlineStr">
        <is>
          <t>Cab Ride</t>
        </is>
      </c>
      <c r="E185" s="7" t="n">
        <v>73.36</v>
      </c>
      <c r="F185" t="inlineStr">
        <is>
          <t>Cash</t>
        </is>
      </c>
      <c r="G185">
        <f>MONTH(A185)</f>
        <v/>
      </c>
      <c r="H185">
        <f>TEXT(A185,"mmm")</f>
        <v/>
      </c>
    </row>
    <row r="186">
      <c r="A186" s="6" t="n">
        <v>45975</v>
      </c>
      <c r="B186" t="inlineStr">
        <is>
          <t>Expense</t>
        </is>
      </c>
      <c r="C186" t="inlineStr">
        <is>
          <t>Food &amp; Snacks</t>
        </is>
      </c>
      <c r="D186" t="inlineStr">
        <is>
          <t>Tea/Snacks</t>
        </is>
      </c>
      <c r="E186" s="7" t="n">
        <v>88.29000000000001</v>
      </c>
      <c r="F186" t="inlineStr">
        <is>
          <t>UPI</t>
        </is>
      </c>
      <c r="G186">
        <f>MONTH(A186)</f>
        <v/>
      </c>
      <c r="H186">
        <f>TEXT(A186,"mmm")</f>
        <v/>
      </c>
    </row>
    <row r="187">
      <c r="A187" s="6" t="n">
        <v>45733</v>
      </c>
      <c r="B187" t="inlineStr">
        <is>
          <t>Expense</t>
        </is>
      </c>
      <c r="C187" t="inlineStr">
        <is>
          <t>Miscellaneous</t>
        </is>
      </c>
      <c r="D187" t="inlineStr">
        <is>
          <t>Gift</t>
        </is>
      </c>
      <c r="E187" s="7" t="n">
        <v>364.65</v>
      </c>
      <c r="F187" t="inlineStr">
        <is>
          <t>Cash</t>
        </is>
      </c>
      <c r="G187">
        <f>MONTH(A187)</f>
        <v/>
      </c>
      <c r="H187">
        <f>TEXT(A187,"mmm")</f>
        <v/>
      </c>
    </row>
    <row r="188">
      <c r="A188" s="6" t="n">
        <v>45907</v>
      </c>
      <c r="B188" t="inlineStr">
        <is>
          <t>Expense</t>
        </is>
      </c>
      <c r="C188" t="inlineStr">
        <is>
          <t>Food &amp; Snacks</t>
        </is>
      </c>
      <c r="D188" t="inlineStr">
        <is>
          <t>Restaurant</t>
        </is>
      </c>
      <c r="E188" s="7" t="n">
        <v>132.64</v>
      </c>
      <c r="F188" t="inlineStr">
        <is>
          <t>UPI</t>
        </is>
      </c>
      <c r="G188">
        <f>MONTH(A188)</f>
        <v/>
      </c>
      <c r="H188">
        <f>TEXT(A188,"mmm")</f>
        <v/>
      </c>
    </row>
    <row r="189">
      <c r="A189" s="6" t="n">
        <v>45906</v>
      </c>
      <c r="B189" t="inlineStr">
        <is>
          <t>Expense</t>
        </is>
      </c>
      <c r="C189" t="inlineStr">
        <is>
          <t>Clothing</t>
        </is>
      </c>
      <c r="D189" t="inlineStr">
        <is>
          <t>Festive Shopping</t>
        </is>
      </c>
      <c r="E189" s="7" t="n">
        <v>1313.02</v>
      </c>
      <c r="F189" t="inlineStr">
        <is>
          <t>UPI</t>
        </is>
      </c>
      <c r="G189">
        <f>MONTH(A189)</f>
        <v/>
      </c>
      <c r="H189">
        <f>TEXT(A189,"mmm")</f>
        <v/>
      </c>
    </row>
    <row r="190">
      <c r="A190" s="6" t="n">
        <v>45783</v>
      </c>
      <c r="B190" t="inlineStr">
        <is>
          <t>Expense</t>
        </is>
      </c>
      <c r="C190" t="inlineStr">
        <is>
          <t>Food &amp; Snacks</t>
        </is>
      </c>
      <c r="D190" t="inlineStr">
        <is>
          <t>Canteen</t>
        </is>
      </c>
      <c r="E190" s="7" t="n">
        <v>125.83</v>
      </c>
      <c r="F190" t="inlineStr">
        <is>
          <t>Cash</t>
        </is>
      </c>
      <c r="G190">
        <f>MONTH(A190)</f>
        <v/>
      </c>
      <c r="H190">
        <f>TEXT(A190,"mmm")</f>
        <v/>
      </c>
    </row>
    <row r="191">
      <c r="A191" s="6" t="n">
        <v>45866</v>
      </c>
      <c r="B191" t="inlineStr">
        <is>
          <t>Expense</t>
        </is>
      </c>
      <c r="C191" t="inlineStr">
        <is>
          <t>Transportation</t>
        </is>
      </c>
      <c r="D191" t="inlineStr">
        <is>
          <t>Auto/Rickshaw</t>
        </is>
      </c>
      <c r="E191" s="7" t="n">
        <v>78.41</v>
      </c>
      <c r="F191" t="inlineStr">
        <is>
          <t>UPI</t>
        </is>
      </c>
      <c r="G191">
        <f>MONTH(A191)</f>
        <v/>
      </c>
      <c r="H191">
        <f>TEXT(A191,"mmm")</f>
        <v/>
      </c>
    </row>
    <row r="192">
      <c r="A192" s="6" t="n">
        <v>45958</v>
      </c>
      <c r="B192" t="inlineStr">
        <is>
          <t>Expense</t>
        </is>
      </c>
      <c r="C192" t="inlineStr">
        <is>
          <t>Transportation</t>
        </is>
      </c>
      <c r="D192" t="inlineStr">
        <is>
          <t>Metro Card Recharge</t>
        </is>
      </c>
      <c r="E192" s="7" t="n">
        <v>83.05</v>
      </c>
      <c r="F192" t="inlineStr">
        <is>
          <t>UPI</t>
        </is>
      </c>
      <c r="G192">
        <f>MONTH(A192)</f>
        <v/>
      </c>
      <c r="H192">
        <f>TEXT(A192,"mmm")</f>
        <v/>
      </c>
    </row>
    <row r="193">
      <c r="A193" s="6" t="n">
        <v>45737</v>
      </c>
      <c r="B193" t="inlineStr">
        <is>
          <t>Expense</t>
        </is>
      </c>
      <c r="C193" t="inlineStr">
        <is>
          <t>Personal Care</t>
        </is>
      </c>
      <c r="D193" t="inlineStr">
        <is>
          <t>Skincare</t>
        </is>
      </c>
      <c r="E193" s="7" t="n">
        <v>135.72</v>
      </c>
      <c r="F193" t="inlineStr">
        <is>
          <t>Cash</t>
        </is>
      </c>
      <c r="G193">
        <f>MONTH(A193)</f>
        <v/>
      </c>
      <c r="H193">
        <f>TEXT(A193,"mmm")</f>
        <v/>
      </c>
    </row>
    <row r="194">
      <c r="A194" s="6" t="n">
        <v>45965</v>
      </c>
      <c r="B194" t="inlineStr">
        <is>
          <t>Expense</t>
        </is>
      </c>
      <c r="C194" t="inlineStr">
        <is>
          <t>Miscellaneous</t>
        </is>
      </c>
      <c r="D194" t="inlineStr">
        <is>
          <t>Other</t>
        </is>
      </c>
      <c r="E194" s="7" t="n">
        <v>163.66</v>
      </c>
      <c r="F194" t="inlineStr">
        <is>
          <t>Card</t>
        </is>
      </c>
      <c r="G194">
        <f>MONTH(A194)</f>
        <v/>
      </c>
      <c r="H194">
        <f>TEXT(A194,"mmm")</f>
        <v/>
      </c>
    </row>
    <row r="195">
      <c r="A195" s="6" t="n">
        <v>45930</v>
      </c>
      <c r="B195" t="inlineStr">
        <is>
          <t>Expense</t>
        </is>
      </c>
      <c r="C195" t="inlineStr">
        <is>
          <t>Entertainment</t>
        </is>
      </c>
      <c r="D195" t="inlineStr">
        <is>
          <t>Movie Ticket</t>
        </is>
      </c>
      <c r="E195" s="7" t="n">
        <v>145.56</v>
      </c>
      <c r="F195" t="inlineStr">
        <is>
          <t>UPI</t>
        </is>
      </c>
      <c r="G195">
        <f>MONTH(A195)</f>
        <v/>
      </c>
      <c r="H195">
        <f>TEXT(A195,"mmm")</f>
        <v/>
      </c>
    </row>
    <row r="196">
      <c r="A196" s="6" t="n">
        <v>45690</v>
      </c>
      <c r="B196" t="inlineStr">
        <is>
          <t>Expense</t>
        </is>
      </c>
      <c r="C196" t="inlineStr">
        <is>
          <t>Transportation</t>
        </is>
      </c>
      <c r="D196" t="inlineStr">
        <is>
          <t>Fuel</t>
        </is>
      </c>
      <c r="E196" s="7" t="n">
        <v>25.71</v>
      </c>
      <c r="F196" t="inlineStr">
        <is>
          <t>UPI</t>
        </is>
      </c>
      <c r="G196">
        <f>MONTH(A196)</f>
        <v/>
      </c>
      <c r="H196">
        <f>TEXT(A196,"mmm")</f>
        <v/>
      </c>
    </row>
    <row r="197">
      <c r="A197" s="6" t="n">
        <v>45977</v>
      </c>
      <c r="B197" t="inlineStr">
        <is>
          <t>Expense</t>
        </is>
      </c>
      <c r="C197" t="inlineStr">
        <is>
          <t>Education</t>
        </is>
      </c>
      <c r="D197" t="inlineStr">
        <is>
          <t>Stationery</t>
        </is>
      </c>
      <c r="E197" s="7" t="n">
        <v>97.81999999999999</v>
      </c>
      <c r="F197" t="inlineStr">
        <is>
          <t>UPI</t>
        </is>
      </c>
      <c r="G197">
        <f>MONTH(A197)</f>
        <v/>
      </c>
      <c r="H197">
        <f>TEXT(A197,"mmm")</f>
        <v/>
      </c>
    </row>
    <row r="198">
      <c r="A198" s="6" t="n">
        <v>45947</v>
      </c>
      <c r="B198" t="inlineStr">
        <is>
          <t>Expense</t>
        </is>
      </c>
      <c r="C198" t="inlineStr">
        <is>
          <t>Entertainment</t>
        </is>
      </c>
      <c r="D198" t="inlineStr">
        <is>
          <t>OTT Rental</t>
        </is>
      </c>
      <c r="E198" s="7" t="n">
        <v>410.75</v>
      </c>
      <c r="F198" t="inlineStr">
        <is>
          <t>Net Banking</t>
        </is>
      </c>
      <c r="G198">
        <f>MONTH(A198)</f>
        <v/>
      </c>
      <c r="H198">
        <f>TEXT(A198,"mmm")</f>
        <v/>
      </c>
    </row>
    <row r="199">
      <c r="A199" s="6" t="n">
        <v>45673</v>
      </c>
      <c r="B199" t="inlineStr">
        <is>
          <t>Expense</t>
        </is>
      </c>
      <c r="C199" t="inlineStr">
        <is>
          <t>Savings</t>
        </is>
      </c>
      <c r="D199" t="inlineStr">
        <is>
          <t>Transfer to Savings Account</t>
        </is>
      </c>
      <c r="E199" s="7" t="n">
        <v>1719.94</v>
      </c>
      <c r="F199" t="inlineStr">
        <is>
          <t>UPI</t>
        </is>
      </c>
      <c r="G199">
        <f>MONTH(A199)</f>
        <v/>
      </c>
      <c r="H199">
        <f>TEXT(A199,"mmm")</f>
        <v/>
      </c>
    </row>
    <row r="200">
      <c r="A200" s="6" t="n">
        <v>45956</v>
      </c>
      <c r="B200" t="inlineStr">
        <is>
          <t>Expense</t>
        </is>
      </c>
      <c r="C200" t="inlineStr">
        <is>
          <t>Subscriptions</t>
        </is>
      </c>
      <c r="D200" t="inlineStr">
        <is>
          <t>Spotify Premium</t>
        </is>
      </c>
      <c r="E200" s="7" t="n">
        <v>352.96</v>
      </c>
      <c r="F200" t="inlineStr">
        <is>
          <t>Cash</t>
        </is>
      </c>
      <c r="G200">
        <f>MONTH(A200)</f>
        <v/>
      </c>
      <c r="H200">
        <f>TEXT(A200,"mmm")</f>
        <v/>
      </c>
    </row>
    <row r="201">
      <c r="A201" s="6" t="n">
        <v>45713</v>
      </c>
      <c r="B201" t="inlineStr">
        <is>
          <t>Expense</t>
        </is>
      </c>
      <c r="C201" t="inlineStr">
        <is>
          <t>Education</t>
        </is>
      </c>
      <c r="D201" t="inlineStr">
        <is>
          <t>Printouts/Xerox</t>
        </is>
      </c>
      <c r="E201" s="7" t="n">
        <v>426.36</v>
      </c>
      <c r="F201" t="inlineStr">
        <is>
          <t>UPI</t>
        </is>
      </c>
      <c r="G201">
        <f>MONTH(A201)</f>
        <v/>
      </c>
      <c r="H201">
        <f>TEXT(A201,"mmm")</f>
        <v/>
      </c>
    </row>
    <row r="202">
      <c r="A202" s="6" t="n">
        <v>45794</v>
      </c>
      <c r="B202" t="inlineStr">
        <is>
          <t>Expense</t>
        </is>
      </c>
      <c r="C202" t="inlineStr">
        <is>
          <t>Mobile &amp; Internet</t>
        </is>
      </c>
      <c r="D202" t="inlineStr">
        <is>
          <t>Monthly Recharge</t>
        </is>
      </c>
      <c r="E202" s="7" t="n">
        <v>277.76</v>
      </c>
      <c r="F202" t="inlineStr">
        <is>
          <t>Net Banking</t>
        </is>
      </c>
      <c r="G202">
        <f>MONTH(A202)</f>
        <v/>
      </c>
      <c r="H202">
        <f>TEXT(A202,"mmm")</f>
        <v/>
      </c>
    </row>
    <row r="203">
      <c r="A203" s="6" t="n">
        <v>45889</v>
      </c>
      <c r="B203" t="inlineStr">
        <is>
          <t>Expense</t>
        </is>
      </c>
      <c r="C203" t="inlineStr">
        <is>
          <t>Miscellaneous</t>
        </is>
      </c>
      <c r="D203" t="inlineStr">
        <is>
          <t>Repairs</t>
        </is>
      </c>
      <c r="E203" s="7" t="n">
        <v>142.53</v>
      </c>
      <c r="F203" t="inlineStr">
        <is>
          <t>UPI</t>
        </is>
      </c>
      <c r="G203">
        <f>MONTH(A203)</f>
        <v/>
      </c>
      <c r="H203">
        <f>TEXT(A203,"mmm")</f>
        <v/>
      </c>
    </row>
    <row r="204">
      <c r="A204" s="6" t="n">
        <v>45873</v>
      </c>
      <c r="B204" t="inlineStr">
        <is>
          <t>Expense</t>
        </is>
      </c>
      <c r="C204" t="inlineStr">
        <is>
          <t>Food &amp; Snacks</t>
        </is>
      </c>
      <c r="D204" t="inlineStr">
        <is>
          <t>Grocery</t>
        </is>
      </c>
      <c r="E204" s="7" t="n">
        <v>97.55</v>
      </c>
      <c r="F204" t="inlineStr">
        <is>
          <t>UPI</t>
        </is>
      </c>
      <c r="G204">
        <f>MONTH(A204)</f>
        <v/>
      </c>
      <c r="H204">
        <f>TEXT(A204,"mmm")</f>
        <v/>
      </c>
    </row>
    <row r="205">
      <c r="A205" s="6" t="n">
        <v>45960</v>
      </c>
      <c r="B205" t="inlineStr">
        <is>
          <t>Expense</t>
        </is>
      </c>
      <c r="C205" t="inlineStr">
        <is>
          <t>Personal Care</t>
        </is>
      </c>
      <c r="D205" t="inlineStr">
        <is>
          <t>Haircut</t>
        </is>
      </c>
      <c r="E205" s="7" t="n">
        <v>126.29</v>
      </c>
      <c r="F205" t="inlineStr">
        <is>
          <t>UPI</t>
        </is>
      </c>
      <c r="G205">
        <f>MONTH(A205)</f>
        <v/>
      </c>
      <c r="H205">
        <f>TEXT(A205,"mmm")</f>
        <v/>
      </c>
    </row>
    <row r="206">
      <c r="A206" s="6" t="n">
        <v>45774</v>
      </c>
      <c r="B206" t="inlineStr">
        <is>
          <t>Expense</t>
        </is>
      </c>
      <c r="C206" t="inlineStr">
        <is>
          <t>Transportation</t>
        </is>
      </c>
      <c r="D206" t="inlineStr">
        <is>
          <t>Metro Card Recharge</t>
        </is>
      </c>
      <c r="E206" s="7" t="n">
        <v>72.54000000000001</v>
      </c>
      <c r="F206" t="inlineStr">
        <is>
          <t>Cash</t>
        </is>
      </c>
      <c r="G206">
        <f>MONTH(A206)</f>
        <v/>
      </c>
      <c r="H206">
        <f>TEXT(A206,"mmm")</f>
        <v/>
      </c>
    </row>
    <row r="207">
      <c r="A207" s="6" t="n">
        <v>45887</v>
      </c>
      <c r="B207" t="inlineStr">
        <is>
          <t>Income</t>
        </is>
      </c>
      <c r="C207" t="inlineStr">
        <is>
          <t>Tutoring Income</t>
        </is>
      </c>
      <c r="D207" t="inlineStr">
        <is>
          <t>Tuition for Junior Student</t>
        </is>
      </c>
      <c r="E207" s="7" t="n">
        <v>2985</v>
      </c>
      <c r="F207" t="inlineStr">
        <is>
          <t>UPI</t>
        </is>
      </c>
      <c r="G207">
        <f>MONTH(A207)</f>
        <v/>
      </c>
      <c r="H207">
        <f>TEXT(A207,"mmm")</f>
        <v/>
      </c>
    </row>
    <row r="208">
      <c r="A208" s="6" t="n">
        <v>46015</v>
      </c>
      <c r="B208" t="inlineStr">
        <is>
          <t>Expense</t>
        </is>
      </c>
      <c r="C208" t="inlineStr">
        <is>
          <t>Food &amp; Snacks</t>
        </is>
      </c>
      <c r="D208" t="inlineStr">
        <is>
          <t>Grocery</t>
        </is>
      </c>
      <c r="E208" s="7" t="n">
        <v>145.87</v>
      </c>
      <c r="F208" t="inlineStr">
        <is>
          <t>UPI</t>
        </is>
      </c>
      <c r="G208">
        <f>MONTH(A208)</f>
        <v/>
      </c>
      <c r="H208">
        <f>TEXT(A208,"mmm")</f>
        <v/>
      </c>
    </row>
    <row r="209">
      <c r="A209" s="6" t="n">
        <v>45864</v>
      </c>
      <c r="B209" t="inlineStr">
        <is>
          <t>Expense</t>
        </is>
      </c>
      <c r="C209" t="inlineStr">
        <is>
          <t>Food &amp; Snacks</t>
        </is>
      </c>
      <c r="D209" t="inlineStr">
        <is>
          <t>Restaurant</t>
        </is>
      </c>
      <c r="E209" s="7" t="n">
        <v>186.25</v>
      </c>
      <c r="F209" t="inlineStr">
        <is>
          <t>UPI</t>
        </is>
      </c>
      <c r="G209">
        <f>MONTH(A209)</f>
        <v/>
      </c>
      <c r="H209">
        <f>TEXT(A209,"mmm")</f>
        <v/>
      </c>
    </row>
    <row r="210">
      <c r="A210" s="6" t="n">
        <v>45796</v>
      </c>
      <c r="B210" t="inlineStr">
        <is>
          <t>Expense</t>
        </is>
      </c>
      <c r="C210" t="inlineStr">
        <is>
          <t>Transportation</t>
        </is>
      </c>
      <c r="D210" t="inlineStr">
        <is>
          <t>Auto/Rickshaw</t>
        </is>
      </c>
      <c r="E210" s="7" t="n">
        <v>54.72</v>
      </c>
      <c r="F210" t="inlineStr">
        <is>
          <t>Net Banking</t>
        </is>
      </c>
      <c r="G210">
        <f>MONTH(A210)</f>
        <v/>
      </c>
      <c r="H210">
        <f>TEXT(A210,"mmm")</f>
        <v/>
      </c>
    </row>
    <row r="211">
      <c r="A211" s="6" t="n">
        <v>45887</v>
      </c>
      <c r="B211" t="inlineStr">
        <is>
          <t>Expense</t>
        </is>
      </c>
      <c r="C211" t="inlineStr">
        <is>
          <t>Personal Care</t>
        </is>
      </c>
      <c r="D211" t="inlineStr">
        <is>
          <t>Skincare</t>
        </is>
      </c>
      <c r="E211" s="7" t="n">
        <v>139.73</v>
      </c>
      <c r="F211" t="inlineStr">
        <is>
          <t>UPI</t>
        </is>
      </c>
      <c r="G211">
        <f>MONTH(A211)</f>
        <v/>
      </c>
      <c r="H211">
        <f>TEXT(A211,"mmm")</f>
        <v/>
      </c>
    </row>
    <row r="212">
      <c r="A212" s="6" t="n">
        <v>45997</v>
      </c>
      <c r="B212" t="inlineStr">
        <is>
          <t>Expense</t>
        </is>
      </c>
      <c r="C212" t="inlineStr">
        <is>
          <t>Personal Care</t>
        </is>
      </c>
      <c r="D212" t="inlineStr">
        <is>
          <t>Skincare</t>
        </is>
      </c>
      <c r="E212" s="7" t="n">
        <v>228.39</v>
      </c>
      <c r="F212" t="inlineStr">
        <is>
          <t>UPI</t>
        </is>
      </c>
      <c r="G212">
        <f>MONTH(A212)</f>
        <v/>
      </c>
      <c r="H212">
        <f>TEXT(A212,"mmm")</f>
        <v/>
      </c>
    </row>
    <row r="213">
      <c r="A213" s="6" t="n">
        <v>45970</v>
      </c>
      <c r="B213" t="inlineStr">
        <is>
          <t>Expense</t>
        </is>
      </c>
      <c r="C213" t="inlineStr">
        <is>
          <t>Transportation</t>
        </is>
      </c>
      <c r="D213" t="inlineStr">
        <is>
          <t>Cab Ride</t>
        </is>
      </c>
      <c r="E213" s="7" t="n">
        <v>35.52</v>
      </c>
      <c r="F213" t="inlineStr">
        <is>
          <t>UPI</t>
        </is>
      </c>
      <c r="G213">
        <f>MONTH(A213)</f>
        <v/>
      </c>
      <c r="H213">
        <f>TEXT(A213,"mmm")</f>
        <v/>
      </c>
    </row>
    <row r="214">
      <c r="A214" s="6" t="n">
        <v>45904</v>
      </c>
      <c r="B214" t="inlineStr">
        <is>
          <t>Expense</t>
        </is>
      </c>
      <c r="C214" t="inlineStr">
        <is>
          <t>Food &amp; Snacks</t>
        </is>
      </c>
      <c r="D214" t="inlineStr">
        <is>
          <t>Grocery</t>
        </is>
      </c>
      <c r="E214" s="7" t="n">
        <v>133.24</v>
      </c>
      <c r="F214" t="inlineStr">
        <is>
          <t>UPI</t>
        </is>
      </c>
      <c r="G214">
        <f>MONTH(A214)</f>
        <v/>
      </c>
      <c r="H214">
        <f>TEXT(A214,"mmm")</f>
        <v/>
      </c>
    </row>
    <row r="215">
      <c r="A215" s="6" t="n">
        <v>45711</v>
      </c>
      <c r="B215" t="inlineStr">
        <is>
          <t>Expense</t>
        </is>
      </c>
      <c r="C215" t="inlineStr">
        <is>
          <t>Food &amp; Snacks</t>
        </is>
      </c>
      <c r="D215" t="inlineStr">
        <is>
          <t>Tiffin</t>
        </is>
      </c>
      <c r="E215" s="7" t="n">
        <v>58.95</v>
      </c>
      <c r="F215" t="inlineStr">
        <is>
          <t>UPI</t>
        </is>
      </c>
      <c r="G215">
        <f>MONTH(A215)</f>
        <v/>
      </c>
      <c r="H215">
        <f>TEXT(A215,"mmm")</f>
        <v/>
      </c>
    </row>
    <row r="216">
      <c r="A216" s="6" t="n">
        <v>45881</v>
      </c>
      <c r="B216" t="inlineStr">
        <is>
          <t>Expense</t>
        </is>
      </c>
      <c r="C216" t="inlineStr">
        <is>
          <t>Transportation</t>
        </is>
      </c>
      <c r="D216" t="inlineStr">
        <is>
          <t>Bus Fare</t>
        </is>
      </c>
      <c r="E216" s="7" t="n">
        <v>91.73999999999999</v>
      </c>
      <c r="F216" t="inlineStr">
        <is>
          <t>Cash</t>
        </is>
      </c>
      <c r="G216">
        <f>MONTH(A216)</f>
        <v/>
      </c>
      <c r="H216">
        <f>TEXT(A216,"mmm")</f>
        <v/>
      </c>
    </row>
    <row r="217">
      <c r="A217" s="6" t="n">
        <v>46014</v>
      </c>
      <c r="B217" t="inlineStr">
        <is>
          <t>Expense</t>
        </is>
      </c>
      <c r="C217" t="inlineStr">
        <is>
          <t>Mobile &amp; Internet</t>
        </is>
      </c>
      <c r="D217" t="inlineStr">
        <is>
          <t>Monthly Recharge</t>
        </is>
      </c>
      <c r="E217" s="7" t="n">
        <v>280.53</v>
      </c>
      <c r="F217" t="inlineStr">
        <is>
          <t>Cash</t>
        </is>
      </c>
      <c r="G217">
        <f>MONTH(A217)</f>
        <v/>
      </c>
      <c r="H217">
        <f>TEXT(A217,"mmm")</f>
        <v/>
      </c>
    </row>
    <row r="218">
      <c r="A218" s="6" t="n">
        <v>45975</v>
      </c>
      <c r="B218" t="inlineStr">
        <is>
          <t>Expense</t>
        </is>
      </c>
      <c r="C218" t="inlineStr">
        <is>
          <t>Food &amp; Snacks</t>
        </is>
      </c>
      <c r="D218" t="inlineStr">
        <is>
          <t>Tiffin</t>
        </is>
      </c>
      <c r="E218" s="7" t="n">
        <v>231.64</v>
      </c>
      <c r="F218" t="inlineStr">
        <is>
          <t>UPI</t>
        </is>
      </c>
      <c r="G218">
        <f>MONTH(A218)</f>
        <v/>
      </c>
      <c r="H218">
        <f>TEXT(A218,"mmm")</f>
        <v/>
      </c>
    </row>
    <row r="219">
      <c r="A219" s="6" t="n">
        <v>45854</v>
      </c>
      <c r="B219" t="inlineStr">
        <is>
          <t>Expense</t>
        </is>
      </c>
      <c r="C219" t="inlineStr">
        <is>
          <t>Entertainment</t>
        </is>
      </c>
      <c r="D219" t="inlineStr">
        <is>
          <t>Outing with Friends</t>
        </is>
      </c>
      <c r="E219" s="7" t="n">
        <v>100.85</v>
      </c>
      <c r="F219" t="inlineStr">
        <is>
          <t>UPI</t>
        </is>
      </c>
      <c r="G219">
        <f>MONTH(A219)</f>
        <v/>
      </c>
      <c r="H219">
        <f>TEXT(A219,"mmm")</f>
        <v/>
      </c>
    </row>
    <row r="220">
      <c r="A220" s="6" t="n">
        <v>45902</v>
      </c>
      <c r="B220" t="inlineStr">
        <is>
          <t>Expense</t>
        </is>
      </c>
      <c r="C220" t="inlineStr">
        <is>
          <t>Transportation</t>
        </is>
      </c>
      <c r="D220" t="inlineStr">
        <is>
          <t>Auto/Rickshaw</t>
        </is>
      </c>
      <c r="E220" s="7" t="n">
        <v>90.90000000000001</v>
      </c>
      <c r="F220" t="inlineStr">
        <is>
          <t>Cash</t>
        </is>
      </c>
      <c r="G220">
        <f>MONTH(A220)</f>
        <v/>
      </c>
      <c r="H220">
        <f>TEXT(A220,"mmm")</f>
        <v/>
      </c>
    </row>
    <row r="221">
      <c r="A221" s="6" t="n">
        <v>45904</v>
      </c>
      <c r="B221" t="inlineStr">
        <is>
          <t>Expense</t>
        </is>
      </c>
      <c r="C221" t="inlineStr">
        <is>
          <t>Transportation</t>
        </is>
      </c>
      <c r="D221" t="inlineStr">
        <is>
          <t>Auto/Rickshaw</t>
        </is>
      </c>
      <c r="E221" s="7" t="n">
        <v>50.54</v>
      </c>
      <c r="F221" t="inlineStr">
        <is>
          <t>Cash</t>
        </is>
      </c>
      <c r="G221">
        <f>MONTH(A221)</f>
        <v/>
      </c>
      <c r="H221">
        <f>TEXT(A221,"mmm")</f>
        <v/>
      </c>
    </row>
    <row r="222">
      <c r="A222" s="6" t="n">
        <v>45897</v>
      </c>
      <c r="B222" t="inlineStr">
        <is>
          <t>Expense</t>
        </is>
      </c>
      <c r="C222" t="inlineStr">
        <is>
          <t>Transportation</t>
        </is>
      </c>
      <c r="D222" t="inlineStr">
        <is>
          <t>Bus Fare</t>
        </is>
      </c>
      <c r="E222" s="7" t="n">
        <v>67.84999999999999</v>
      </c>
      <c r="F222" t="inlineStr">
        <is>
          <t>Card</t>
        </is>
      </c>
      <c r="G222">
        <f>MONTH(A222)</f>
        <v/>
      </c>
      <c r="H222">
        <f>TEXT(A222,"mmm")</f>
        <v/>
      </c>
    </row>
    <row r="223">
      <c r="A223" s="6" t="n">
        <v>45749</v>
      </c>
      <c r="B223" t="inlineStr">
        <is>
          <t>Expense</t>
        </is>
      </c>
      <c r="C223" t="inlineStr">
        <is>
          <t>Education</t>
        </is>
      </c>
      <c r="D223" t="inlineStr">
        <is>
          <t>Stationery</t>
        </is>
      </c>
      <c r="E223" s="7" t="n">
        <v>215.04</v>
      </c>
      <c r="F223" t="inlineStr">
        <is>
          <t>Net Banking</t>
        </is>
      </c>
      <c r="G223">
        <f>MONTH(A223)</f>
        <v/>
      </c>
      <c r="H223">
        <f>TEXT(A223,"mmm")</f>
        <v/>
      </c>
    </row>
    <row r="224">
      <c r="A224" s="6" t="n">
        <v>45845</v>
      </c>
      <c r="B224" t="inlineStr">
        <is>
          <t>Expense</t>
        </is>
      </c>
      <c r="C224" t="inlineStr">
        <is>
          <t>Food &amp; Snacks</t>
        </is>
      </c>
      <c r="D224" t="inlineStr">
        <is>
          <t>Mess Bill</t>
        </is>
      </c>
      <c r="E224" s="7" t="n">
        <v>223.03</v>
      </c>
      <c r="F224" t="inlineStr">
        <is>
          <t>UPI</t>
        </is>
      </c>
      <c r="G224">
        <f>MONTH(A224)</f>
        <v/>
      </c>
      <c r="H224">
        <f>TEXT(A224,"mmm")</f>
        <v/>
      </c>
    </row>
    <row r="225">
      <c r="A225" s="6" t="n">
        <v>45806</v>
      </c>
      <c r="B225" t="inlineStr">
        <is>
          <t>Expense</t>
        </is>
      </c>
      <c r="C225" t="inlineStr">
        <is>
          <t>Transportation</t>
        </is>
      </c>
      <c r="D225" t="inlineStr">
        <is>
          <t>Metro Card Recharge</t>
        </is>
      </c>
      <c r="E225" s="7" t="n">
        <v>50.42</v>
      </c>
      <c r="F225" t="inlineStr">
        <is>
          <t>UPI</t>
        </is>
      </c>
      <c r="G225">
        <f>MONTH(A225)</f>
        <v/>
      </c>
      <c r="H225">
        <f>TEXT(A225,"mmm")</f>
        <v/>
      </c>
    </row>
    <row r="226">
      <c r="A226" s="6" t="n">
        <v>45998</v>
      </c>
      <c r="B226" t="inlineStr">
        <is>
          <t>Expense</t>
        </is>
      </c>
      <c r="C226" t="inlineStr">
        <is>
          <t>Personal Care</t>
        </is>
      </c>
      <c r="D226" t="inlineStr">
        <is>
          <t>Toiletries</t>
        </is>
      </c>
      <c r="E226" s="7" t="n">
        <v>251.46</v>
      </c>
      <c r="F226" t="inlineStr">
        <is>
          <t>Cash</t>
        </is>
      </c>
      <c r="G226">
        <f>MONTH(A226)</f>
        <v/>
      </c>
      <c r="H226">
        <f>TEXT(A226,"mmm")</f>
        <v/>
      </c>
    </row>
    <row r="227">
      <c r="A227" s="6" t="n">
        <v>45971</v>
      </c>
      <c r="B227" t="inlineStr">
        <is>
          <t>Expense</t>
        </is>
      </c>
      <c r="C227" t="inlineStr">
        <is>
          <t>Transportation</t>
        </is>
      </c>
      <c r="D227" t="inlineStr">
        <is>
          <t>Bus Fare</t>
        </is>
      </c>
      <c r="E227" s="7" t="n">
        <v>55.47</v>
      </c>
      <c r="F227" t="inlineStr">
        <is>
          <t>UPI</t>
        </is>
      </c>
      <c r="G227">
        <f>MONTH(A227)</f>
        <v/>
      </c>
      <c r="H227">
        <f>TEXT(A227,"mmm")</f>
        <v/>
      </c>
    </row>
    <row r="228">
      <c r="A228" s="6" t="n">
        <v>46006</v>
      </c>
      <c r="B228" t="inlineStr">
        <is>
          <t>Expense</t>
        </is>
      </c>
      <c r="C228" t="inlineStr">
        <is>
          <t>Food &amp; Snacks</t>
        </is>
      </c>
      <c r="D228" t="inlineStr">
        <is>
          <t>Restaurant</t>
        </is>
      </c>
      <c r="E228" s="7" t="n">
        <v>217.96</v>
      </c>
      <c r="F228" t="inlineStr">
        <is>
          <t>Card</t>
        </is>
      </c>
      <c r="G228">
        <f>MONTH(A228)</f>
        <v/>
      </c>
      <c r="H228">
        <f>TEXT(A228,"mmm")</f>
        <v/>
      </c>
    </row>
    <row r="229">
      <c r="A229" s="6" t="n">
        <v>45886</v>
      </c>
      <c r="B229" t="inlineStr">
        <is>
          <t>Expense</t>
        </is>
      </c>
      <c r="C229" t="inlineStr">
        <is>
          <t>Food &amp; Snacks</t>
        </is>
      </c>
      <c r="D229" t="inlineStr">
        <is>
          <t>Mess Bill</t>
        </is>
      </c>
      <c r="E229" s="7" t="n">
        <v>158.48</v>
      </c>
      <c r="F229" t="inlineStr">
        <is>
          <t>Card</t>
        </is>
      </c>
      <c r="G229">
        <f>MONTH(A229)</f>
        <v/>
      </c>
      <c r="H229">
        <f>TEXT(A229,"mmm")</f>
        <v/>
      </c>
    </row>
    <row r="230">
      <c r="A230" s="6" t="n">
        <v>45809</v>
      </c>
      <c r="B230" t="inlineStr">
        <is>
          <t>Expense</t>
        </is>
      </c>
      <c r="C230" t="inlineStr">
        <is>
          <t>Food &amp; Snacks</t>
        </is>
      </c>
      <c r="D230" t="inlineStr">
        <is>
          <t>Tea/Snacks</t>
        </is>
      </c>
      <c r="E230" s="7" t="n">
        <v>80.79000000000001</v>
      </c>
      <c r="F230" t="inlineStr">
        <is>
          <t>Card</t>
        </is>
      </c>
      <c r="G230">
        <f>MONTH(A230)</f>
        <v/>
      </c>
      <c r="H230">
        <f>TEXT(A230,"mmm")</f>
        <v/>
      </c>
    </row>
    <row r="231">
      <c r="A231" s="6" t="n">
        <v>45905</v>
      </c>
      <c r="B231" t="inlineStr">
        <is>
          <t>Expense</t>
        </is>
      </c>
      <c r="C231" t="inlineStr">
        <is>
          <t>Transportation</t>
        </is>
      </c>
      <c r="D231" t="inlineStr">
        <is>
          <t>Fuel</t>
        </is>
      </c>
      <c r="E231" s="7" t="n">
        <v>31.6</v>
      </c>
      <c r="F231" t="inlineStr">
        <is>
          <t>UPI</t>
        </is>
      </c>
      <c r="G231">
        <f>MONTH(A231)</f>
        <v/>
      </c>
      <c r="H231">
        <f>TEXT(A231,"mmm")</f>
        <v/>
      </c>
    </row>
    <row r="232">
      <c r="A232" s="6" t="n">
        <v>45767</v>
      </c>
      <c r="B232" t="inlineStr">
        <is>
          <t>Expense</t>
        </is>
      </c>
      <c r="C232" t="inlineStr">
        <is>
          <t>Subscriptions</t>
        </is>
      </c>
      <c r="D232" t="inlineStr">
        <is>
          <t>Netflix/OTT Share</t>
        </is>
      </c>
      <c r="E232" s="7" t="n">
        <v>245.64</v>
      </c>
      <c r="F232" t="inlineStr">
        <is>
          <t>UPI</t>
        </is>
      </c>
      <c r="G232">
        <f>MONTH(A232)</f>
        <v/>
      </c>
      <c r="H232">
        <f>TEXT(A232,"mmm")</f>
        <v/>
      </c>
    </row>
    <row r="233">
      <c r="A233" s="6" t="n">
        <v>45955</v>
      </c>
      <c r="B233" t="inlineStr">
        <is>
          <t>Expense</t>
        </is>
      </c>
      <c r="C233" t="inlineStr">
        <is>
          <t>Food &amp; Snacks</t>
        </is>
      </c>
      <c r="D233" t="inlineStr">
        <is>
          <t>Canteen</t>
        </is>
      </c>
      <c r="E233" s="7" t="n">
        <v>116.29</v>
      </c>
      <c r="F233" t="inlineStr">
        <is>
          <t>Cash</t>
        </is>
      </c>
      <c r="G233">
        <f>MONTH(A233)</f>
        <v/>
      </c>
      <c r="H233">
        <f>TEXT(A233,"mmm")</f>
        <v/>
      </c>
    </row>
    <row r="234">
      <c r="A234" s="6" t="n">
        <v>45803</v>
      </c>
      <c r="B234" t="inlineStr">
        <is>
          <t>Expense</t>
        </is>
      </c>
      <c r="C234" t="inlineStr">
        <is>
          <t>Food &amp; Snacks</t>
        </is>
      </c>
      <c r="D234" t="inlineStr">
        <is>
          <t>Canteen</t>
        </is>
      </c>
      <c r="E234" s="7" t="n">
        <v>53.18</v>
      </c>
      <c r="F234" t="inlineStr">
        <is>
          <t>Net Banking</t>
        </is>
      </c>
      <c r="G234">
        <f>MONTH(A234)</f>
        <v/>
      </c>
      <c r="H234">
        <f>TEXT(A234,"mmm")</f>
        <v/>
      </c>
    </row>
    <row r="235">
      <c r="A235" s="6" t="n">
        <v>45876</v>
      </c>
      <c r="B235" t="inlineStr">
        <is>
          <t>Expense</t>
        </is>
      </c>
      <c r="C235" t="inlineStr">
        <is>
          <t>Food &amp; Snacks</t>
        </is>
      </c>
      <c r="D235" t="inlineStr">
        <is>
          <t>Grocery</t>
        </is>
      </c>
      <c r="E235" s="7" t="n">
        <v>176.71</v>
      </c>
      <c r="F235" t="inlineStr">
        <is>
          <t>UPI</t>
        </is>
      </c>
      <c r="G235">
        <f>MONTH(A235)</f>
        <v/>
      </c>
      <c r="H235">
        <f>TEXT(A235,"mmm")</f>
        <v/>
      </c>
    </row>
    <row r="236">
      <c r="A236" s="6" t="n">
        <v>45965</v>
      </c>
      <c r="B236" t="inlineStr">
        <is>
          <t>Expense</t>
        </is>
      </c>
      <c r="C236" t="inlineStr">
        <is>
          <t>Food &amp; Snacks</t>
        </is>
      </c>
      <c r="D236" t="inlineStr">
        <is>
          <t>Mess Bill</t>
        </is>
      </c>
      <c r="E236" s="7" t="n">
        <v>184.62</v>
      </c>
      <c r="F236" t="inlineStr">
        <is>
          <t>Card</t>
        </is>
      </c>
      <c r="G236">
        <f>MONTH(A236)</f>
        <v/>
      </c>
      <c r="H236">
        <f>TEXT(A236,"mmm")</f>
        <v/>
      </c>
    </row>
    <row r="237">
      <c r="A237" s="6" t="n">
        <v>45941</v>
      </c>
      <c r="B237" t="inlineStr">
        <is>
          <t>Expense</t>
        </is>
      </c>
      <c r="C237" t="inlineStr">
        <is>
          <t>Transportation</t>
        </is>
      </c>
      <c r="D237" t="inlineStr">
        <is>
          <t>Auto/Rickshaw</t>
        </is>
      </c>
      <c r="E237" s="7" t="n">
        <v>49.71</v>
      </c>
      <c r="F237" t="inlineStr">
        <is>
          <t>UPI</t>
        </is>
      </c>
      <c r="G237">
        <f>MONTH(A237)</f>
        <v/>
      </c>
      <c r="H237">
        <f>TEXT(A237,"mmm")</f>
        <v/>
      </c>
    </row>
    <row r="238">
      <c r="A238" s="6" t="n">
        <v>45687</v>
      </c>
      <c r="B238" t="inlineStr">
        <is>
          <t>Expense</t>
        </is>
      </c>
      <c r="C238" t="inlineStr">
        <is>
          <t>Transportation</t>
        </is>
      </c>
      <c r="D238" t="inlineStr">
        <is>
          <t>Bus Fare</t>
        </is>
      </c>
      <c r="E238" s="7" t="n">
        <v>30.49</v>
      </c>
      <c r="F238" t="inlineStr">
        <is>
          <t>UPI</t>
        </is>
      </c>
      <c r="G238">
        <f>MONTH(A238)</f>
        <v/>
      </c>
      <c r="H238">
        <f>TEXT(A238,"mmm")</f>
        <v/>
      </c>
    </row>
    <row r="239">
      <c r="A239" s="6" t="n">
        <v>45846</v>
      </c>
      <c r="B239" t="inlineStr">
        <is>
          <t>Expense</t>
        </is>
      </c>
      <c r="C239" t="inlineStr">
        <is>
          <t>Education</t>
        </is>
      </c>
      <c r="D239" t="inlineStr">
        <is>
          <t>Printouts/Xerox</t>
        </is>
      </c>
      <c r="E239" s="7" t="n">
        <v>288.8</v>
      </c>
      <c r="F239" t="inlineStr">
        <is>
          <t>Net Banking</t>
        </is>
      </c>
      <c r="G239">
        <f>MONTH(A239)</f>
        <v/>
      </c>
      <c r="H239">
        <f>TEXT(A239,"mmm")</f>
        <v/>
      </c>
    </row>
    <row r="240">
      <c r="A240" s="6" t="n">
        <v>45948</v>
      </c>
      <c r="B240" t="inlineStr">
        <is>
          <t>Expense</t>
        </is>
      </c>
      <c r="C240" t="inlineStr">
        <is>
          <t>Education</t>
        </is>
      </c>
      <c r="D240" t="inlineStr">
        <is>
          <t>Reference Book</t>
        </is>
      </c>
      <c r="E240" s="7" t="n">
        <v>724.84</v>
      </c>
      <c r="F240" t="inlineStr">
        <is>
          <t>UPI</t>
        </is>
      </c>
      <c r="G240">
        <f>MONTH(A240)</f>
        <v/>
      </c>
      <c r="H240">
        <f>TEXT(A240,"mmm")</f>
        <v/>
      </c>
    </row>
    <row r="241">
      <c r="A241" s="6" t="n">
        <v>45675</v>
      </c>
      <c r="B241" t="inlineStr">
        <is>
          <t>Expense</t>
        </is>
      </c>
      <c r="C241" t="inlineStr">
        <is>
          <t>Mobile &amp; Internet</t>
        </is>
      </c>
      <c r="D241" t="inlineStr">
        <is>
          <t>Monthly Recharge</t>
        </is>
      </c>
      <c r="E241" s="7" t="n">
        <v>272.71</v>
      </c>
      <c r="F241" t="inlineStr">
        <is>
          <t>UPI</t>
        </is>
      </c>
      <c r="G241">
        <f>MONTH(A241)</f>
        <v/>
      </c>
      <c r="H241">
        <f>TEXT(A241,"mmm")</f>
        <v/>
      </c>
    </row>
    <row r="242">
      <c r="A242" s="6" t="n">
        <v>45910</v>
      </c>
      <c r="B242" t="inlineStr">
        <is>
          <t>Expense</t>
        </is>
      </c>
      <c r="C242" t="inlineStr">
        <is>
          <t>Food &amp; Snacks</t>
        </is>
      </c>
      <c r="D242" t="inlineStr">
        <is>
          <t>Restaurant</t>
        </is>
      </c>
      <c r="E242" s="7" t="n">
        <v>170.08</v>
      </c>
      <c r="F242" t="inlineStr">
        <is>
          <t>UPI</t>
        </is>
      </c>
      <c r="G242">
        <f>MONTH(A242)</f>
        <v/>
      </c>
      <c r="H242">
        <f>TEXT(A242,"mmm")</f>
        <v/>
      </c>
    </row>
    <row r="243">
      <c r="A243" s="6" t="n">
        <v>45753</v>
      </c>
      <c r="B243" t="inlineStr">
        <is>
          <t>Expense</t>
        </is>
      </c>
      <c r="C243" t="inlineStr">
        <is>
          <t>Personal Care</t>
        </is>
      </c>
      <c r="D243" t="inlineStr">
        <is>
          <t>Haircut</t>
        </is>
      </c>
      <c r="E243" s="7" t="n">
        <v>225.11</v>
      </c>
      <c r="F243" t="inlineStr">
        <is>
          <t>UPI</t>
        </is>
      </c>
      <c r="G243">
        <f>MONTH(A243)</f>
        <v/>
      </c>
      <c r="H243">
        <f>TEXT(A243,"mmm")</f>
        <v/>
      </c>
    </row>
    <row r="244">
      <c r="A244" s="6" t="n">
        <v>45994</v>
      </c>
      <c r="B244" t="inlineStr">
        <is>
          <t>Expense</t>
        </is>
      </c>
      <c r="C244" t="inlineStr">
        <is>
          <t>Food &amp; Snacks</t>
        </is>
      </c>
      <c r="D244" t="inlineStr">
        <is>
          <t>Mess Bill</t>
        </is>
      </c>
      <c r="E244" s="7" t="n">
        <v>186.63</v>
      </c>
      <c r="F244" t="inlineStr">
        <is>
          <t>Cash</t>
        </is>
      </c>
      <c r="G244">
        <f>MONTH(A244)</f>
        <v/>
      </c>
      <c r="H244">
        <f>TEXT(A244,"mmm")</f>
        <v/>
      </c>
    </row>
    <row r="245">
      <c r="A245" s="6" t="n">
        <v>45698</v>
      </c>
      <c r="B245" t="inlineStr">
        <is>
          <t>Income</t>
        </is>
      </c>
      <c r="C245" t="inlineStr">
        <is>
          <t>Tutoring Income</t>
        </is>
      </c>
      <c r="D245" t="inlineStr">
        <is>
          <t>Tuition for Junior Student</t>
        </is>
      </c>
      <c r="E245" s="7" t="n">
        <v>1400</v>
      </c>
      <c r="F245" t="inlineStr">
        <is>
          <t>UPI</t>
        </is>
      </c>
      <c r="G245">
        <f>MONTH(A245)</f>
        <v/>
      </c>
      <c r="H245">
        <f>TEXT(A245,"mmm")</f>
        <v/>
      </c>
    </row>
    <row r="246">
      <c r="A246" s="6" t="n">
        <v>45869</v>
      </c>
      <c r="B246" t="inlineStr">
        <is>
          <t>Expense</t>
        </is>
      </c>
      <c r="C246" t="inlineStr">
        <is>
          <t>Personal Care</t>
        </is>
      </c>
      <c r="D246" t="inlineStr">
        <is>
          <t>Toiletries</t>
        </is>
      </c>
      <c r="E246" s="7" t="n">
        <v>293.55</v>
      </c>
      <c r="F246" t="inlineStr">
        <is>
          <t>UPI</t>
        </is>
      </c>
      <c r="G246">
        <f>MONTH(A246)</f>
        <v/>
      </c>
      <c r="H246">
        <f>TEXT(A246,"mmm")</f>
        <v/>
      </c>
    </row>
    <row r="247">
      <c r="A247" s="6" t="n">
        <v>45985</v>
      </c>
      <c r="B247" t="inlineStr">
        <is>
          <t>Expense</t>
        </is>
      </c>
      <c r="C247" t="inlineStr">
        <is>
          <t>Entertainment</t>
        </is>
      </c>
      <c r="D247" t="inlineStr">
        <is>
          <t>Movie Ticket</t>
        </is>
      </c>
      <c r="E247" s="7" t="n">
        <v>138.02</v>
      </c>
      <c r="F247" t="inlineStr">
        <is>
          <t>Card</t>
        </is>
      </c>
      <c r="G247">
        <f>MONTH(A247)</f>
        <v/>
      </c>
      <c r="H247">
        <f>TEXT(A247,"mmm")</f>
        <v/>
      </c>
    </row>
    <row r="248">
      <c r="A248" s="6" t="n">
        <v>46005</v>
      </c>
      <c r="B248" t="inlineStr">
        <is>
          <t>Expense</t>
        </is>
      </c>
      <c r="C248" t="inlineStr">
        <is>
          <t>Food &amp; Snacks</t>
        </is>
      </c>
      <c r="D248" t="inlineStr">
        <is>
          <t>Tea/Snacks</t>
        </is>
      </c>
      <c r="E248" s="7" t="n">
        <v>151.66</v>
      </c>
      <c r="F248" t="inlineStr">
        <is>
          <t>Card</t>
        </is>
      </c>
      <c r="G248">
        <f>MONTH(A248)</f>
        <v/>
      </c>
      <c r="H248">
        <f>TEXT(A248,"mmm")</f>
        <v/>
      </c>
    </row>
    <row r="249">
      <c r="A249" s="6" t="n">
        <v>45777</v>
      </c>
      <c r="B249" t="inlineStr">
        <is>
          <t>Expense</t>
        </is>
      </c>
      <c r="C249" t="inlineStr">
        <is>
          <t>Food &amp; Snacks</t>
        </is>
      </c>
      <c r="D249" t="inlineStr">
        <is>
          <t>Canteen</t>
        </is>
      </c>
      <c r="E249" s="7" t="n">
        <v>177.5</v>
      </c>
      <c r="F249" t="inlineStr">
        <is>
          <t>Net Banking</t>
        </is>
      </c>
      <c r="G249">
        <f>MONTH(A249)</f>
        <v/>
      </c>
      <c r="H249">
        <f>TEXT(A249,"mmm")</f>
        <v/>
      </c>
    </row>
    <row r="250">
      <c r="A250" s="6" t="n">
        <v>45709</v>
      </c>
      <c r="B250" t="inlineStr">
        <is>
          <t>Expense</t>
        </is>
      </c>
      <c r="C250" t="inlineStr">
        <is>
          <t>Food &amp; Snacks</t>
        </is>
      </c>
      <c r="D250" t="inlineStr">
        <is>
          <t>Grocery</t>
        </is>
      </c>
      <c r="E250" s="7" t="n">
        <v>164.97</v>
      </c>
      <c r="F250" t="inlineStr">
        <is>
          <t>UPI</t>
        </is>
      </c>
      <c r="G250">
        <f>MONTH(A250)</f>
        <v/>
      </c>
      <c r="H250">
        <f>TEXT(A250,"mmm")</f>
        <v/>
      </c>
    </row>
    <row r="251">
      <c r="A251" s="6" t="n">
        <v>45828</v>
      </c>
      <c r="B251" t="inlineStr">
        <is>
          <t>Expense</t>
        </is>
      </c>
      <c r="C251" t="inlineStr">
        <is>
          <t>Transportation</t>
        </is>
      </c>
      <c r="D251" t="inlineStr">
        <is>
          <t>Auto/Rickshaw</t>
        </is>
      </c>
      <c r="E251" s="7" t="n">
        <v>65.84999999999999</v>
      </c>
      <c r="F251" t="inlineStr">
        <is>
          <t>Card</t>
        </is>
      </c>
      <c r="G251">
        <f>MONTH(A251)</f>
        <v/>
      </c>
      <c r="H251">
        <f>TEXT(A251,"mmm")</f>
        <v/>
      </c>
    </row>
    <row r="252">
      <c r="A252" s="6" t="n">
        <v>46001</v>
      </c>
      <c r="B252" t="inlineStr">
        <is>
          <t>Expense</t>
        </is>
      </c>
      <c r="C252" t="inlineStr">
        <is>
          <t>Food &amp; Snacks</t>
        </is>
      </c>
      <c r="D252" t="inlineStr">
        <is>
          <t>Tiffin</t>
        </is>
      </c>
      <c r="E252" s="7" t="n">
        <v>244.02</v>
      </c>
      <c r="F252" t="inlineStr">
        <is>
          <t>UPI</t>
        </is>
      </c>
      <c r="G252">
        <f>MONTH(A252)</f>
        <v/>
      </c>
      <c r="H252">
        <f>TEXT(A252,"mmm")</f>
        <v/>
      </c>
    </row>
    <row r="253">
      <c r="A253" s="6" t="n">
        <v>45949</v>
      </c>
      <c r="B253" t="inlineStr">
        <is>
          <t>Expense</t>
        </is>
      </c>
      <c r="C253" t="inlineStr">
        <is>
          <t>Food &amp; Snacks</t>
        </is>
      </c>
      <c r="D253" t="inlineStr">
        <is>
          <t>Tiffin</t>
        </is>
      </c>
      <c r="E253" s="7" t="n">
        <v>215.68</v>
      </c>
      <c r="F253" t="inlineStr">
        <is>
          <t>Card</t>
        </is>
      </c>
      <c r="G253">
        <f>MONTH(A253)</f>
        <v/>
      </c>
      <c r="H253">
        <f>TEXT(A253,"mmm")</f>
        <v/>
      </c>
    </row>
    <row r="254">
      <c r="A254" s="6" t="n">
        <v>45751</v>
      </c>
      <c r="B254" t="inlineStr">
        <is>
          <t>Expense</t>
        </is>
      </c>
      <c r="C254" t="inlineStr">
        <is>
          <t>Transportation</t>
        </is>
      </c>
      <c r="D254" t="inlineStr">
        <is>
          <t>Bus Fare</t>
        </is>
      </c>
      <c r="E254" s="7" t="n">
        <v>63.36</v>
      </c>
      <c r="F254" t="inlineStr">
        <is>
          <t>UPI</t>
        </is>
      </c>
      <c r="G254">
        <f>MONTH(A254)</f>
        <v/>
      </c>
      <c r="H254">
        <f>TEXT(A254,"mmm")</f>
        <v/>
      </c>
    </row>
    <row r="255">
      <c r="A255" s="6" t="n">
        <v>45919</v>
      </c>
      <c r="B255" t="inlineStr">
        <is>
          <t>Expense</t>
        </is>
      </c>
      <c r="C255" t="inlineStr">
        <is>
          <t>Food &amp; Snacks</t>
        </is>
      </c>
      <c r="D255" t="inlineStr">
        <is>
          <t>Grocery</t>
        </is>
      </c>
      <c r="E255" s="7" t="n">
        <v>195.27</v>
      </c>
      <c r="F255" t="inlineStr">
        <is>
          <t>UPI</t>
        </is>
      </c>
      <c r="G255">
        <f>MONTH(A255)</f>
        <v/>
      </c>
      <c r="H255">
        <f>TEXT(A255,"mmm")</f>
        <v/>
      </c>
    </row>
    <row r="256">
      <c r="A256" s="6" t="n">
        <v>45850</v>
      </c>
      <c r="B256" t="inlineStr">
        <is>
          <t>Expense</t>
        </is>
      </c>
      <c r="C256" t="inlineStr">
        <is>
          <t>Food &amp; Snacks</t>
        </is>
      </c>
      <c r="D256" t="inlineStr">
        <is>
          <t>Mess Bill</t>
        </is>
      </c>
      <c r="E256" s="7" t="n">
        <v>157.74</v>
      </c>
      <c r="F256" t="inlineStr">
        <is>
          <t>Cash</t>
        </is>
      </c>
      <c r="G256">
        <f>MONTH(A256)</f>
        <v/>
      </c>
      <c r="H256">
        <f>TEXT(A256,"mmm")</f>
        <v/>
      </c>
    </row>
    <row r="257">
      <c r="A257" s="6" t="n">
        <v>46008</v>
      </c>
      <c r="B257" t="inlineStr">
        <is>
          <t>Expense</t>
        </is>
      </c>
      <c r="C257" t="inlineStr">
        <is>
          <t>Personal Care</t>
        </is>
      </c>
      <c r="D257" t="inlineStr">
        <is>
          <t>Skincare</t>
        </is>
      </c>
      <c r="E257" s="7" t="n">
        <v>157.03</v>
      </c>
      <c r="F257" t="inlineStr">
        <is>
          <t>UPI</t>
        </is>
      </c>
      <c r="G257">
        <f>MONTH(A257)</f>
        <v/>
      </c>
      <c r="H257">
        <f>TEXT(A257,"mmm")</f>
        <v/>
      </c>
    </row>
    <row r="258">
      <c r="A258" s="6" t="n">
        <v>45861</v>
      </c>
      <c r="B258" t="inlineStr">
        <is>
          <t>Expense</t>
        </is>
      </c>
      <c r="C258" t="inlineStr">
        <is>
          <t>Subscriptions</t>
        </is>
      </c>
      <c r="D258" t="inlineStr">
        <is>
          <t>Netflix/OTT Share</t>
        </is>
      </c>
      <c r="E258" s="7" t="n">
        <v>226.26</v>
      </c>
      <c r="F258" t="inlineStr">
        <is>
          <t>UPI</t>
        </is>
      </c>
      <c r="G258">
        <f>MONTH(A258)</f>
        <v/>
      </c>
      <c r="H258">
        <f>TEXT(A258,"mmm")</f>
        <v/>
      </c>
    </row>
    <row r="259">
      <c r="A259" s="6" t="n">
        <v>45892</v>
      </c>
      <c r="B259" t="inlineStr">
        <is>
          <t>Expense</t>
        </is>
      </c>
      <c r="C259" t="inlineStr">
        <is>
          <t>Mobile &amp; Internet</t>
        </is>
      </c>
      <c r="D259" t="inlineStr">
        <is>
          <t>Monthly Recharge</t>
        </is>
      </c>
      <c r="E259" s="7" t="n">
        <v>297.23</v>
      </c>
      <c r="F259" t="inlineStr">
        <is>
          <t>Card</t>
        </is>
      </c>
      <c r="G259">
        <f>MONTH(A259)</f>
        <v/>
      </c>
      <c r="H259">
        <f>TEXT(A259,"mmm")</f>
        <v/>
      </c>
    </row>
    <row r="260">
      <c r="A260" s="6" t="n">
        <v>45748</v>
      </c>
      <c r="B260" t="inlineStr">
        <is>
          <t>Expense</t>
        </is>
      </c>
      <c r="C260" t="inlineStr">
        <is>
          <t>Transportation</t>
        </is>
      </c>
      <c r="D260" t="inlineStr">
        <is>
          <t>Bus Fare</t>
        </is>
      </c>
      <c r="E260" s="7" t="n">
        <v>47.95</v>
      </c>
      <c r="F260" t="inlineStr">
        <is>
          <t>Net Banking</t>
        </is>
      </c>
      <c r="G260">
        <f>MONTH(A260)</f>
        <v/>
      </c>
      <c r="H260">
        <f>TEXT(A260,"mmm")</f>
        <v/>
      </c>
    </row>
    <row r="261">
      <c r="A261" s="6" t="n">
        <v>46003</v>
      </c>
      <c r="B261" t="inlineStr">
        <is>
          <t>Expense</t>
        </is>
      </c>
      <c r="C261" t="inlineStr">
        <is>
          <t>Miscellaneous</t>
        </is>
      </c>
      <c r="D261" t="inlineStr">
        <is>
          <t>Repairs</t>
        </is>
      </c>
      <c r="E261" s="7" t="n">
        <v>63.05</v>
      </c>
      <c r="F261" t="inlineStr">
        <is>
          <t>UPI</t>
        </is>
      </c>
      <c r="G261">
        <f>MONTH(A261)</f>
        <v/>
      </c>
      <c r="H261">
        <f>TEXT(A261,"mmm")</f>
        <v/>
      </c>
    </row>
    <row r="262">
      <c r="A262" s="6" t="n">
        <v>45990</v>
      </c>
      <c r="B262" t="inlineStr">
        <is>
          <t>Expense</t>
        </is>
      </c>
      <c r="C262" t="inlineStr">
        <is>
          <t>Mobile &amp; Internet</t>
        </is>
      </c>
      <c r="D262" t="inlineStr">
        <is>
          <t>Monthly Recharge</t>
        </is>
      </c>
      <c r="E262" s="7" t="n">
        <v>271.08</v>
      </c>
      <c r="F262" t="inlineStr">
        <is>
          <t>Cash</t>
        </is>
      </c>
      <c r="G262">
        <f>MONTH(A262)</f>
        <v/>
      </c>
      <c r="H262">
        <f>TEXT(A262,"mmm")</f>
        <v/>
      </c>
    </row>
    <row r="263">
      <c r="A263" s="6" t="n">
        <v>45689</v>
      </c>
      <c r="B263" t="inlineStr">
        <is>
          <t>Expense</t>
        </is>
      </c>
      <c r="C263" t="inlineStr">
        <is>
          <t>Food &amp; Snacks</t>
        </is>
      </c>
      <c r="D263" t="inlineStr">
        <is>
          <t>Mess Bill</t>
        </is>
      </c>
      <c r="E263" s="7" t="n">
        <v>221.4</v>
      </c>
      <c r="F263" t="inlineStr">
        <is>
          <t>UPI</t>
        </is>
      </c>
      <c r="G263">
        <f>MONTH(A263)</f>
        <v/>
      </c>
      <c r="H263">
        <f>TEXT(A263,"mmm")</f>
        <v/>
      </c>
    </row>
    <row r="264">
      <c r="A264" s="6" t="n">
        <v>45755</v>
      </c>
      <c r="B264" t="inlineStr">
        <is>
          <t>Expense</t>
        </is>
      </c>
      <c r="C264" t="inlineStr">
        <is>
          <t>Education</t>
        </is>
      </c>
      <c r="D264" t="inlineStr">
        <is>
          <t>Lab Manual</t>
        </is>
      </c>
      <c r="E264" s="7" t="n">
        <v>226.22</v>
      </c>
      <c r="F264" t="inlineStr">
        <is>
          <t>UPI</t>
        </is>
      </c>
      <c r="G264">
        <f>MONTH(A264)</f>
        <v/>
      </c>
      <c r="H264">
        <f>TEXT(A264,"mmm")</f>
        <v/>
      </c>
    </row>
    <row r="265">
      <c r="A265" s="6" t="n">
        <v>45848</v>
      </c>
      <c r="B265" t="inlineStr">
        <is>
          <t>Expense</t>
        </is>
      </c>
      <c r="C265" t="inlineStr">
        <is>
          <t>Transportation</t>
        </is>
      </c>
      <c r="D265" t="inlineStr">
        <is>
          <t>Cab Ride</t>
        </is>
      </c>
      <c r="E265" s="7" t="n">
        <v>51.3</v>
      </c>
      <c r="F265" t="inlineStr">
        <is>
          <t>UPI</t>
        </is>
      </c>
      <c r="G265">
        <f>MONTH(A265)</f>
        <v/>
      </c>
      <c r="H265">
        <f>TEXT(A265,"mmm")</f>
        <v/>
      </c>
    </row>
    <row r="266">
      <c r="A266" s="6" t="n">
        <v>45682</v>
      </c>
      <c r="B266" t="inlineStr">
        <is>
          <t>Expense</t>
        </is>
      </c>
      <c r="C266" t="inlineStr">
        <is>
          <t>Subscriptions</t>
        </is>
      </c>
      <c r="D266" t="inlineStr">
        <is>
          <t>Spotify Premium</t>
        </is>
      </c>
      <c r="E266" s="7" t="n">
        <v>352.21</v>
      </c>
      <c r="F266" t="inlineStr">
        <is>
          <t>Net Banking</t>
        </is>
      </c>
      <c r="G266">
        <f>MONTH(A266)</f>
        <v/>
      </c>
      <c r="H266">
        <f>TEXT(A266,"mmm")</f>
        <v/>
      </c>
    </row>
    <row r="267">
      <c r="A267" s="6" t="n">
        <v>45871</v>
      </c>
      <c r="B267" t="inlineStr">
        <is>
          <t>Expense</t>
        </is>
      </c>
      <c r="C267" t="inlineStr">
        <is>
          <t>Food &amp; Snacks</t>
        </is>
      </c>
      <c r="D267" t="inlineStr">
        <is>
          <t>Mess Bill</t>
        </is>
      </c>
      <c r="E267" s="7" t="n">
        <v>153.29</v>
      </c>
      <c r="F267" t="inlineStr">
        <is>
          <t>UPI</t>
        </is>
      </c>
      <c r="G267">
        <f>MONTH(A267)</f>
        <v/>
      </c>
      <c r="H267">
        <f>TEXT(A267,"mmm")</f>
        <v/>
      </c>
    </row>
    <row r="268">
      <c r="A268" s="6" t="n">
        <v>45732</v>
      </c>
      <c r="B268" t="inlineStr">
        <is>
          <t>Expense</t>
        </is>
      </c>
      <c r="C268" t="inlineStr">
        <is>
          <t>Food &amp; Snacks</t>
        </is>
      </c>
      <c r="D268" t="inlineStr">
        <is>
          <t>Tiffin</t>
        </is>
      </c>
      <c r="E268" s="7" t="n">
        <v>120.97</v>
      </c>
      <c r="F268" t="inlineStr">
        <is>
          <t>Cash</t>
        </is>
      </c>
      <c r="G268">
        <f>MONTH(A268)</f>
        <v/>
      </c>
      <c r="H268">
        <f>TEXT(A268,"mmm")</f>
        <v/>
      </c>
    </row>
    <row r="269">
      <c r="A269" s="6" t="n">
        <v>45685</v>
      </c>
      <c r="B269" t="inlineStr">
        <is>
          <t>Expense</t>
        </is>
      </c>
      <c r="C269" t="inlineStr">
        <is>
          <t>Entertainment</t>
        </is>
      </c>
      <c r="D269" t="inlineStr">
        <is>
          <t>Event Ticket</t>
        </is>
      </c>
      <c r="E269" s="7" t="n">
        <v>348.96</v>
      </c>
      <c r="F269" t="inlineStr">
        <is>
          <t>Cash</t>
        </is>
      </c>
      <c r="G269">
        <f>MONTH(A269)</f>
        <v/>
      </c>
      <c r="H269">
        <f>TEXT(A269,"mmm")</f>
        <v/>
      </c>
    </row>
    <row r="270">
      <c r="A270" s="6" t="n">
        <v>45689</v>
      </c>
      <c r="B270" t="inlineStr">
        <is>
          <t>Expense</t>
        </is>
      </c>
      <c r="C270" t="inlineStr">
        <is>
          <t>Transportation</t>
        </is>
      </c>
      <c r="D270" t="inlineStr">
        <is>
          <t>Fuel</t>
        </is>
      </c>
      <c r="E270" s="7" t="n">
        <v>99.40000000000001</v>
      </c>
      <c r="F270" t="inlineStr">
        <is>
          <t>UPI</t>
        </is>
      </c>
      <c r="G270">
        <f>MONTH(A270)</f>
        <v/>
      </c>
      <c r="H270">
        <f>TEXT(A270,"mmm")</f>
        <v/>
      </c>
    </row>
    <row r="271">
      <c r="A271" s="6" t="n">
        <v>45984</v>
      </c>
      <c r="B271" t="inlineStr">
        <is>
          <t>Expense</t>
        </is>
      </c>
      <c r="C271" t="inlineStr">
        <is>
          <t>Food &amp; Snacks</t>
        </is>
      </c>
      <c r="D271" t="inlineStr">
        <is>
          <t>Tiffin</t>
        </is>
      </c>
      <c r="E271" s="7" t="n">
        <v>71.31</v>
      </c>
      <c r="F271" t="inlineStr">
        <is>
          <t>UPI</t>
        </is>
      </c>
      <c r="G271">
        <f>MONTH(A271)</f>
        <v/>
      </c>
      <c r="H271">
        <f>TEXT(A271,"mmm")</f>
        <v/>
      </c>
    </row>
    <row r="272">
      <c r="A272" s="6" t="n">
        <v>45986</v>
      </c>
      <c r="B272" t="inlineStr">
        <is>
          <t>Expense</t>
        </is>
      </c>
      <c r="C272" t="inlineStr">
        <is>
          <t>Personal Care</t>
        </is>
      </c>
      <c r="D272" t="inlineStr">
        <is>
          <t>Toiletries</t>
        </is>
      </c>
      <c r="E272" s="7" t="n">
        <v>209.99</v>
      </c>
      <c r="F272" t="inlineStr">
        <is>
          <t>Net Banking</t>
        </is>
      </c>
      <c r="G272">
        <f>MONTH(A272)</f>
        <v/>
      </c>
      <c r="H272">
        <f>TEXT(A272,"mmm")</f>
        <v/>
      </c>
    </row>
    <row r="273">
      <c r="A273" s="6" t="n">
        <v>45917</v>
      </c>
      <c r="B273" t="inlineStr">
        <is>
          <t>Expense</t>
        </is>
      </c>
      <c r="C273" t="inlineStr">
        <is>
          <t>Food &amp; Snacks</t>
        </is>
      </c>
      <c r="D273" t="inlineStr">
        <is>
          <t>Mess Bill</t>
        </is>
      </c>
      <c r="E273" s="7" t="n">
        <v>214.75</v>
      </c>
      <c r="F273" t="inlineStr">
        <is>
          <t>UPI</t>
        </is>
      </c>
      <c r="G273">
        <f>MONTH(A273)</f>
        <v/>
      </c>
      <c r="H273">
        <f>TEXT(A273,"mmm")</f>
        <v/>
      </c>
    </row>
    <row r="274">
      <c r="A274" s="6" t="n">
        <v>45804</v>
      </c>
      <c r="B274" t="inlineStr">
        <is>
          <t>Expense</t>
        </is>
      </c>
      <c r="C274" t="inlineStr">
        <is>
          <t>Miscellaneous</t>
        </is>
      </c>
      <c r="D274" t="inlineStr">
        <is>
          <t>Donation</t>
        </is>
      </c>
      <c r="E274" s="7" t="n">
        <v>300.47</v>
      </c>
      <c r="F274" t="inlineStr">
        <is>
          <t>Cash</t>
        </is>
      </c>
      <c r="G274">
        <f>MONTH(A274)</f>
        <v/>
      </c>
      <c r="H274">
        <f>TEXT(A274,"mmm")</f>
        <v/>
      </c>
    </row>
    <row r="275">
      <c r="A275" s="6" t="n">
        <v>45723</v>
      </c>
      <c r="B275" t="inlineStr">
        <is>
          <t>Expense</t>
        </is>
      </c>
      <c r="C275" t="inlineStr">
        <is>
          <t>Transportation</t>
        </is>
      </c>
      <c r="D275" t="inlineStr">
        <is>
          <t>Fuel</t>
        </is>
      </c>
      <c r="E275" s="7" t="n">
        <v>51.89</v>
      </c>
      <c r="F275" t="inlineStr">
        <is>
          <t>Card</t>
        </is>
      </c>
      <c r="G275">
        <f>MONTH(A275)</f>
        <v/>
      </c>
      <c r="H275">
        <f>TEXT(A275,"mmm")</f>
        <v/>
      </c>
    </row>
    <row r="276">
      <c r="A276" s="6" t="n">
        <v>45706</v>
      </c>
      <c r="B276" t="inlineStr">
        <is>
          <t>Expense</t>
        </is>
      </c>
      <c r="C276" t="inlineStr">
        <is>
          <t>Personal Care</t>
        </is>
      </c>
      <c r="D276" t="inlineStr">
        <is>
          <t>Haircut</t>
        </is>
      </c>
      <c r="E276" s="7" t="n">
        <v>240.27</v>
      </c>
      <c r="F276" t="inlineStr">
        <is>
          <t>UPI</t>
        </is>
      </c>
      <c r="G276">
        <f>MONTH(A276)</f>
        <v/>
      </c>
      <c r="H276">
        <f>TEXT(A276,"mmm")</f>
        <v/>
      </c>
    </row>
    <row r="277">
      <c r="A277" s="6" t="n">
        <v>45969</v>
      </c>
      <c r="B277" t="inlineStr">
        <is>
          <t>Expense</t>
        </is>
      </c>
      <c r="C277" t="inlineStr">
        <is>
          <t>Clothing</t>
        </is>
      </c>
      <c r="D277" t="inlineStr">
        <is>
          <t>Festive Shopping</t>
        </is>
      </c>
      <c r="E277" s="7" t="n">
        <v>382.74</v>
      </c>
      <c r="F277" t="inlineStr">
        <is>
          <t>Card</t>
        </is>
      </c>
      <c r="G277">
        <f>MONTH(A277)</f>
        <v/>
      </c>
      <c r="H277">
        <f>TEXT(A277,"mmm")</f>
        <v/>
      </c>
    </row>
    <row r="278">
      <c r="A278" s="6" t="n">
        <v>45757</v>
      </c>
      <c r="B278" t="inlineStr">
        <is>
          <t>Expense</t>
        </is>
      </c>
      <c r="C278" t="inlineStr">
        <is>
          <t>Food &amp; Snacks</t>
        </is>
      </c>
      <c r="D278" t="inlineStr">
        <is>
          <t>Canteen</t>
        </is>
      </c>
      <c r="E278" s="7" t="n">
        <v>82.17</v>
      </c>
      <c r="F278" t="inlineStr">
        <is>
          <t>UPI</t>
        </is>
      </c>
      <c r="G278">
        <f>MONTH(A278)</f>
        <v/>
      </c>
      <c r="H278">
        <f>TEXT(A278,"mmm")</f>
        <v/>
      </c>
    </row>
    <row r="279">
      <c r="A279" s="6" t="n">
        <v>45684</v>
      </c>
      <c r="B279" t="inlineStr">
        <is>
          <t>Expense</t>
        </is>
      </c>
      <c r="C279" t="inlineStr">
        <is>
          <t>Transportation</t>
        </is>
      </c>
      <c r="D279" t="inlineStr">
        <is>
          <t>Metro Card Recharge</t>
        </is>
      </c>
      <c r="E279" s="7" t="n">
        <v>31.49</v>
      </c>
      <c r="F279" t="inlineStr">
        <is>
          <t>Cash</t>
        </is>
      </c>
      <c r="G279">
        <f>MONTH(A279)</f>
        <v/>
      </c>
      <c r="H279">
        <f>TEXT(A279,"mmm")</f>
        <v/>
      </c>
    </row>
    <row r="280">
      <c r="A280" s="6" t="n">
        <v>45858</v>
      </c>
      <c r="B280" t="inlineStr">
        <is>
          <t>Expense</t>
        </is>
      </c>
      <c r="C280" t="inlineStr">
        <is>
          <t>Savings</t>
        </is>
      </c>
      <c r="D280" t="inlineStr">
        <is>
          <t>Transfer to Savings Account</t>
        </is>
      </c>
      <c r="E280" s="7" t="n">
        <v>1647.81</v>
      </c>
      <c r="F280" t="inlineStr">
        <is>
          <t>UPI</t>
        </is>
      </c>
      <c r="G280">
        <f>MONTH(A280)</f>
        <v/>
      </c>
      <c r="H280">
        <f>TEXT(A280,"mmm")</f>
        <v/>
      </c>
    </row>
    <row r="281">
      <c r="A281" s="6" t="n">
        <v>45916</v>
      </c>
      <c r="B281" t="inlineStr">
        <is>
          <t>Expense</t>
        </is>
      </c>
      <c r="C281" t="inlineStr">
        <is>
          <t>Education</t>
        </is>
      </c>
      <c r="D281" t="inlineStr">
        <is>
          <t>Online Course Fee</t>
        </is>
      </c>
      <c r="E281" s="7" t="n">
        <v>293.47</v>
      </c>
      <c r="F281" t="inlineStr">
        <is>
          <t>UPI</t>
        </is>
      </c>
      <c r="G281">
        <f>MONTH(A281)</f>
        <v/>
      </c>
      <c r="H281">
        <f>TEXT(A281,"mmm")</f>
        <v/>
      </c>
    </row>
    <row r="282">
      <c r="A282" s="6" t="n">
        <v>45661</v>
      </c>
      <c r="B282" t="inlineStr">
        <is>
          <t>Expense</t>
        </is>
      </c>
      <c r="C282" t="inlineStr">
        <is>
          <t>Transportation</t>
        </is>
      </c>
      <c r="D282" t="inlineStr">
        <is>
          <t>Bus Fare</t>
        </is>
      </c>
      <c r="E282" s="7" t="n">
        <v>40.73</v>
      </c>
      <c r="F282" t="inlineStr">
        <is>
          <t>Cash</t>
        </is>
      </c>
      <c r="G282">
        <f>MONTH(A282)</f>
        <v/>
      </c>
      <c r="H282">
        <f>TEXT(A282,"mmm")</f>
        <v/>
      </c>
    </row>
    <row r="283">
      <c r="A283" s="6" t="n">
        <v>45721</v>
      </c>
      <c r="B283" t="inlineStr">
        <is>
          <t>Expense</t>
        </is>
      </c>
      <c r="C283" t="inlineStr">
        <is>
          <t>Food &amp; Snacks</t>
        </is>
      </c>
      <c r="D283" t="inlineStr">
        <is>
          <t>Canteen</t>
        </is>
      </c>
      <c r="E283" s="7" t="n">
        <v>227.8</v>
      </c>
      <c r="F283" t="inlineStr">
        <is>
          <t>UPI</t>
        </is>
      </c>
      <c r="G283">
        <f>MONTH(A283)</f>
        <v/>
      </c>
      <c r="H283">
        <f>TEXT(A283,"mmm")</f>
        <v/>
      </c>
    </row>
    <row r="284">
      <c r="A284" s="6" t="n">
        <v>45980</v>
      </c>
      <c r="B284" t="inlineStr">
        <is>
          <t>Expense</t>
        </is>
      </c>
      <c r="C284" t="inlineStr">
        <is>
          <t>Food &amp; Snacks</t>
        </is>
      </c>
      <c r="D284" t="inlineStr">
        <is>
          <t>Tiffin</t>
        </is>
      </c>
      <c r="E284" s="7" t="n">
        <v>232.43</v>
      </c>
      <c r="F284" t="inlineStr">
        <is>
          <t>Card</t>
        </is>
      </c>
      <c r="G284">
        <f>MONTH(A284)</f>
        <v/>
      </c>
      <c r="H284">
        <f>TEXT(A284,"mmm")</f>
        <v/>
      </c>
    </row>
    <row r="285">
      <c r="A285" s="6" t="n">
        <v>45891</v>
      </c>
      <c r="B285" t="inlineStr">
        <is>
          <t>Expense</t>
        </is>
      </c>
      <c r="C285" t="inlineStr">
        <is>
          <t>Food &amp; Snacks</t>
        </is>
      </c>
      <c r="D285" t="inlineStr">
        <is>
          <t>Restaurant</t>
        </is>
      </c>
      <c r="E285" s="7" t="n">
        <v>246.78</v>
      </c>
      <c r="F285" t="inlineStr">
        <is>
          <t>Cash</t>
        </is>
      </c>
      <c r="G285">
        <f>MONTH(A285)</f>
        <v/>
      </c>
      <c r="H285">
        <f>TEXT(A285,"mmm")</f>
        <v/>
      </c>
    </row>
    <row r="286">
      <c r="A286" s="6" t="n">
        <v>45769</v>
      </c>
      <c r="B286" t="inlineStr">
        <is>
          <t>Expense</t>
        </is>
      </c>
      <c r="C286" t="inlineStr">
        <is>
          <t>Transportation</t>
        </is>
      </c>
      <c r="D286" t="inlineStr">
        <is>
          <t>Bus Fare</t>
        </is>
      </c>
      <c r="E286" s="7" t="n">
        <v>98.87</v>
      </c>
      <c r="F286" t="inlineStr">
        <is>
          <t>Cash</t>
        </is>
      </c>
      <c r="G286">
        <f>MONTH(A286)</f>
        <v/>
      </c>
      <c r="H286">
        <f>TEXT(A286,"mmm")</f>
        <v/>
      </c>
    </row>
    <row r="287">
      <c r="A287" s="6" t="n">
        <v>45836</v>
      </c>
      <c r="B287" t="inlineStr">
        <is>
          <t>Expense</t>
        </is>
      </c>
      <c r="C287" t="inlineStr">
        <is>
          <t>Food &amp; Snacks</t>
        </is>
      </c>
      <c r="D287" t="inlineStr">
        <is>
          <t>Mess Bill</t>
        </is>
      </c>
      <c r="E287" s="7" t="n">
        <v>139.98</v>
      </c>
      <c r="F287" t="inlineStr">
        <is>
          <t>UPI</t>
        </is>
      </c>
      <c r="G287">
        <f>MONTH(A287)</f>
        <v/>
      </c>
      <c r="H287">
        <f>TEXT(A287,"mmm")</f>
        <v/>
      </c>
    </row>
    <row r="288">
      <c r="A288" s="6" t="n">
        <v>45932</v>
      </c>
      <c r="B288" t="inlineStr">
        <is>
          <t>Expense</t>
        </is>
      </c>
      <c r="C288" t="inlineStr">
        <is>
          <t>Food &amp; Snacks</t>
        </is>
      </c>
      <c r="D288" t="inlineStr">
        <is>
          <t>Mess Bill</t>
        </is>
      </c>
      <c r="E288" s="7" t="n">
        <v>204.67</v>
      </c>
      <c r="F288" t="inlineStr">
        <is>
          <t>Net Banking</t>
        </is>
      </c>
      <c r="G288">
        <f>MONTH(A288)</f>
        <v/>
      </c>
      <c r="H288">
        <f>TEXT(A288,"mmm")</f>
        <v/>
      </c>
    </row>
    <row r="289">
      <c r="A289" s="6" t="n">
        <v>45779</v>
      </c>
      <c r="B289" t="inlineStr">
        <is>
          <t>Expense</t>
        </is>
      </c>
      <c r="C289" t="inlineStr">
        <is>
          <t>Personal Care</t>
        </is>
      </c>
      <c r="D289" t="inlineStr">
        <is>
          <t>Skincare</t>
        </is>
      </c>
      <c r="E289" s="7" t="n">
        <v>102.09</v>
      </c>
      <c r="F289" t="inlineStr">
        <is>
          <t>UPI</t>
        </is>
      </c>
      <c r="G289">
        <f>MONTH(A289)</f>
        <v/>
      </c>
      <c r="H289">
        <f>TEXT(A289,"mmm")</f>
        <v/>
      </c>
    </row>
    <row r="290">
      <c r="A290" s="6" t="n">
        <v>45864</v>
      </c>
      <c r="B290" t="inlineStr">
        <is>
          <t>Expense</t>
        </is>
      </c>
      <c r="C290" t="inlineStr">
        <is>
          <t>Entertainment</t>
        </is>
      </c>
      <c r="D290" t="inlineStr">
        <is>
          <t>OTT Rental</t>
        </is>
      </c>
      <c r="E290" s="7" t="n">
        <v>445.49</v>
      </c>
      <c r="F290" t="inlineStr">
        <is>
          <t>UPI</t>
        </is>
      </c>
      <c r="G290">
        <f>MONTH(A290)</f>
        <v/>
      </c>
      <c r="H290">
        <f>TEXT(A290,"mmm")</f>
        <v/>
      </c>
    </row>
    <row r="291">
      <c r="A291" s="6" t="n">
        <v>45891</v>
      </c>
      <c r="B291" t="inlineStr">
        <is>
          <t>Expense</t>
        </is>
      </c>
      <c r="C291" t="inlineStr">
        <is>
          <t>Food &amp; Snacks</t>
        </is>
      </c>
      <c r="D291" t="inlineStr">
        <is>
          <t>Tiffin</t>
        </is>
      </c>
      <c r="E291" s="7" t="n">
        <v>94.17</v>
      </c>
      <c r="F291" t="inlineStr">
        <is>
          <t>UPI</t>
        </is>
      </c>
      <c r="G291">
        <f>MONTH(A291)</f>
        <v/>
      </c>
      <c r="H291">
        <f>TEXT(A291,"mmm")</f>
        <v/>
      </c>
    </row>
    <row r="292">
      <c r="A292" s="6" t="n">
        <v>45845</v>
      </c>
      <c r="B292" t="inlineStr">
        <is>
          <t>Expense</t>
        </is>
      </c>
      <c r="C292" t="inlineStr">
        <is>
          <t>Transportation</t>
        </is>
      </c>
      <c r="D292" t="inlineStr">
        <is>
          <t>Fuel</t>
        </is>
      </c>
      <c r="E292" s="7" t="n">
        <v>88.20999999999999</v>
      </c>
      <c r="F292" t="inlineStr">
        <is>
          <t>Card</t>
        </is>
      </c>
      <c r="G292">
        <f>MONTH(A292)</f>
        <v/>
      </c>
      <c r="H292">
        <f>TEXT(A292,"mmm")</f>
        <v/>
      </c>
    </row>
    <row r="293">
      <c r="A293" s="6" t="n">
        <v>45919</v>
      </c>
      <c r="B293" t="inlineStr">
        <is>
          <t>Expense</t>
        </is>
      </c>
      <c r="C293" t="inlineStr">
        <is>
          <t>Personal Care</t>
        </is>
      </c>
      <c r="D293" t="inlineStr">
        <is>
          <t>Toiletries</t>
        </is>
      </c>
      <c r="E293" s="7" t="n">
        <v>125.53</v>
      </c>
      <c r="F293" t="inlineStr">
        <is>
          <t>UPI</t>
        </is>
      </c>
      <c r="G293">
        <f>MONTH(A293)</f>
        <v/>
      </c>
      <c r="H293">
        <f>TEXT(A293,"mmm")</f>
        <v/>
      </c>
    </row>
    <row r="294">
      <c r="A294" s="6" t="n">
        <v>45660</v>
      </c>
      <c r="B294" t="inlineStr">
        <is>
          <t>Expense</t>
        </is>
      </c>
      <c r="C294" t="inlineStr">
        <is>
          <t>Transportation</t>
        </is>
      </c>
      <c r="D294" t="inlineStr">
        <is>
          <t>Metro Card Recharge</t>
        </is>
      </c>
      <c r="E294" s="7" t="n">
        <v>60.32</v>
      </c>
      <c r="F294" t="inlineStr">
        <is>
          <t>Cash</t>
        </is>
      </c>
      <c r="G294">
        <f>MONTH(A294)</f>
        <v/>
      </c>
      <c r="H294">
        <f>TEXT(A294,"mmm")</f>
        <v/>
      </c>
    </row>
    <row r="295">
      <c r="A295" s="6" t="n">
        <v>45689</v>
      </c>
      <c r="B295" t="inlineStr">
        <is>
          <t>Income</t>
        </is>
      </c>
      <c r="C295" t="inlineStr">
        <is>
          <t>Pocket Money</t>
        </is>
      </c>
      <c r="D295" t="inlineStr">
        <is>
          <t>Monthly Allowance from Parents</t>
        </is>
      </c>
      <c r="E295" s="7" t="n">
        <v>8000</v>
      </c>
      <c r="F295" t="inlineStr">
        <is>
          <t>Net Banking</t>
        </is>
      </c>
      <c r="G295">
        <f>MONTH(A295)</f>
        <v/>
      </c>
      <c r="H295">
        <f>TEXT(A295,"mmm")</f>
        <v/>
      </c>
    </row>
    <row r="296">
      <c r="A296" s="6" t="n">
        <v>45685</v>
      </c>
      <c r="B296" t="inlineStr">
        <is>
          <t>Expense</t>
        </is>
      </c>
      <c r="C296" t="inlineStr">
        <is>
          <t>Transportation</t>
        </is>
      </c>
      <c r="D296" t="inlineStr">
        <is>
          <t>Auto/Rickshaw</t>
        </is>
      </c>
      <c r="E296" s="7" t="n">
        <v>53.04</v>
      </c>
      <c r="F296" t="inlineStr">
        <is>
          <t>UPI</t>
        </is>
      </c>
      <c r="G296">
        <f>MONTH(A296)</f>
        <v/>
      </c>
      <c r="H296">
        <f>TEXT(A296,"mmm")</f>
        <v/>
      </c>
    </row>
    <row r="297">
      <c r="A297" s="6" t="n">
        <v>45661</v>
      </c>
      <c r="B297" t="inlineStr">
        <is>
          <t>Expense</t>
        </is>
      </c>
      <c r="C297" t="inlineStr">
        <is>
          <t>Food &amp; Snacks</t>
        </is>
      </c>
      <c r="D297" t="inlineStr">
        <is>
          <t>Mess Bill</t>
        </is>
      </c>
      <c r="E297" s="7" t="n">
        <v>200.08</v>
      </c>
      <c r="F297" t="inlineStr">
        <is>
          <t>UPI</t>
        </is>
      </c>
      <c r="G297">
        <f>MONTH(A297)</f>
        <v/>
      </c>
      <c r="H297">
        <f>TEXT(A297,"mmm")</f>
        <v/>
      </c>
    </row>
    <row r="298">
      <c r="A298" s="6" t="n">
        <v>45900</v>
      </c>
      <c r="B298" t="inlineStr">
        <is>
          <t>Expense</t>
        </is>
      </c>
      <c r="C298" t="inlineStr">
        <is>
          <t>Clothing</t>
        </is>
      </c>
      <c r="D298" t="inlineStr">
        <is>
          <t>Festive Shopping</t>
        </is>
      </c>
      <c r="E298" s="7" t="n">
        <v>321.68</v>
      </c>
      <c r="F298" t="inlineStr">
        <is>
          <t>UPI</t>
        </is>
      </c>
      <c r="G298">
        <f>MONTH(A298)</f>
        <v/>
      </c>
      <c r="H298">
        <f>TEXT(A298,"mmm")</f>
        <v/>
      </c>
    </row>
    <row r="299">
      <c r="A299" s="6" t="n">
        <v>45888</v>
      </c>
      <c r="B299" t="inlineStr">
        <is>
          <t>Expense</t>
        </is>
      </c>
      <c r="C299" t="inlineStr">
        <is>
          <t>Entertainment</t>
        </is>
      </c>
      <c r="D299" t="inlineStr">
        <is>
          <t>Outing with Friends</t>
        </is>
      </c>
      <c r="E299" s="7" t="n">
        <v>144.62</v>
      </c>
      <c r="F299" t="inlineStr">
        <is>
          <t>UPI</t>
        </is>
      </c>
      <c r="G299">
        <f>MONTH(A299)</f>
        <v/>
      </c>
      <c r="H299">
        <f>TEXT(A299,"mmm")</f>
        <v/>
      </c>
    </row>
    <row r="300">
      <c r="A300" s="6" t="n">
        <v>45751</v>
      </c>
      <c r="B300" t="inlineStr">
        <is>
          <t>Expense</t>
        </is>
      </c>
      <c r="C300" t="inlineStr">
        <is>
          <t>Food &amp; Snacks</t>
        </is>
      </c>
      <c r="D300" t="inlineStr">
        <is>
          <t>Restaurant</t>
        </is>
      </c>
      <c r="E300" s="7" t="n">
        <v>139.96</v>
      </c>
      <c r="F300" t="inlineStr">
        <is>
          <t>UPI</t>
        </is>
      </c>
      <c r="G300">
        <f>MONTH(A300)</f>
        <v/>
      </c>
      <c r="H300">
        <f>TEXT(A300,"mmm")</f>
        <v/>
      </c>
    </row>
    <row r="301">
      <c r="A301" s="6" t="n">
        <v>45782</v>
      </c>
      <c r="B301" t="inlineStr">
        <is>
          <t>Expense</t>
        </is>
      </c>
      <c r="C301" t="inlineStr">
        <is>
          <t>Education</t>
        </is>
      </c>
      <c r="D301" t="inlineStr">
        <is>
          <t>Lab Manual</t>
        </is>
      </c>
      <c r="E301" s="7" t="n">
        <v>422.62</v>
      </c>
      <c r="F301" t="inlineStr">
        <is>
          <t>Net Banking</t>
        </is>
      </c>
      <c r="G301">
        <f>MONTH(A301)</f>
        <v/>
      </c>
      <c r="H301">
        <f>TEXT(A301,"mmm")</f>
        <v/>
      </c>
    </row>
    <row r="302">
      <c r="A302" s="6" t="n">
        <v>45926</v>
      </c>
      <c r="B302" t="inlineStr">
        <is>
          <t>Expense</t>
        </is>
      </c>
      <c r="C302" t="inlineStr">
        <is>
          <t>Food &amp; Snacks</t>
        </is>
      </c>
      <c r="D302" t="inlineStr">
        <is>
          <t>Mess Bill</t>
        </is>
      </c>
      <c r="E302" s="7" t="n">
        <v>89.28</v>
      </c>
      <c r="F302" t="inlineStr">
        <is>
          <t>UPI</t>
        </is>
      </c>
      <c r="G302">
        <f>MONTH(A302)</f>
        <v/>
      </c>
      <c r="H302">
        <f>TEXT(A302,"mmm")</f>
        <v/>
      </c>
    </row>
    <row r="303">
      <c r="A303" s="6" t="n">
        <v>45938</v>
      </c>
      <c r="B303" t="inlineStr">
        <is>
          <t>Expense</t>
        </is>
      </c>
      <c r="C303" t="inlineStr">
        <is>
          <t>Transportation</t>
        </is>
      </c>
      <c r="D303" t="inlineStr">
        <is>
          <t>Cab Ride</t>
        </is>
      </c>
      <c r="E303" s="7" t="n">
        <v>44.87</v>
      </c>
      <c r="F303" t="inlineStr">
        <is>
          <t>UPI</t>
        </is>
      </c>
      <c r="G303">
        <f>MONTH(A303)</f>
        <v/>
      </c>
      <c r="H303">
        <f>TEXT(A303,"mmm")</f>
        <v/>
      </c>
    </row>
    <row r="304">
      <c r="A304" s="6" t="n">
        <v>46021</v>
      </c>
      <c r="B304" t="inlineStr">
        <is>
          <t>Expense</t>
        </is>
      </c>
      <c r="C304" t="inlineStr">
        <is>
          <t>Food &amp; Snacks</t>
        </is>
      </c>
      <c r="D304" t="inlineStr">
        <is>
          <t>Mess Bill</t>
        </is>
      </c>
      <c r="E304" s="7" t="n">
        <v>188.38</v>
      </c>
      <c r="F304" t="inlineStr">
        <is>
          <t>UPI</t>
        </is>
      </c>
      <c r="G304">
        <f>MONTH(A304)</f>
        <v/>
      </c>
      <c r="H304">
        <f>TEXT(A304,"mmm")</f>
        <v/>
      </c>
    </row>
    <row r="305">
      <c r="A305" s="6" t="n">
        <v>45985</v>
      </c>
      <c r="B305" t="inlineStr">
        <is>
          <t>Expense</t>
        </is>
      </c>
      <c r="C305" t="inlineStr">
        <is>
          <t>Food &amp; Snacks</t>
        </is>
      </c>
      <c r="D305" t="inlineStr">
        <is>
          <t>Canteen</t>
        </is>
      </c>
      <c r="E305" s="7" t="n">
        <v>189.92</v>
      </c>
      <c r="F305" t="inlineStr">
        <is>
          <t>UPI</t>
        </is>
      </c>
      <c r="G305">
        <f>MONTH(A305)</f>
        <v/>
      </c>
      <c r="H305">
        <f>TEXT(A305,"mmm")</f>
        <v/>
      </c>
    </row>
    <row r="306">
      <c r="A306" s="6" t="n">
        <v>45717</v>
      </c>
      <c r="B306" t="inlineStr">
        <is>
          <t>Income</t>
        </is>
      </c>
      <c r="C306" t="inlineStr">
        <is>
          <t>Pocket Money</t>
        </is>
      </c>
      <c r="D306" t="inlineStr">
        <is>
          <t>Monthly Allowance from Parents</t>
        </is>
      </c>
      <c r="E306" s="7" t="n">
        <v>8000</v>
      </c>
      <c r="F306" t="inlineStr">
        <is>
          <t>Net Banking</t>
        </is>
      </c>
      <c r="G306">
        <f>MONTH(A306)</f>
        <v/>
      </c>
      <c r="H306">
        <f>TEXT(A306,"mmm")</f>
        <v/>
      </c>
    </row>
    <row r="307">
      <c r="A307" s="6" t="n">
        <v>45872</v>
      </c>
      <c r="B307" t="inlineStr">
        <is>
          <t>Expense</t>
        </is>
      </c>
      <c r="C307" t="inlineStr">
        <is>
          <t>Transportation</t>
        </is>
      </c>
      <c r="D307" t="inlineStr">
        <is>
          <t>Metro Card Recharge</t>
        </is>
      </c>
      <c r="E307" s="7" t="n">
        <v>50.94</v>
      </c>
      <c r="F307" t="inlineStr">
        <is>
          <t>UPI</t>
        </is>
      </c>
      <c r="G307">
        <f>MONTH(A307)</f>
        <v/>
      </c>
      <c r="H307">
        <f>TEXT(A307,"mmm")</f>
        <v/>
      </c>
    </row>
    <row r="308">
      <c r="A308" s="6" t="n">
        <v>45904</v>
      </c>
      <c r="B308" t="inlineStr">
        <is>
          <t>Expense</t>
        </is>
      </c>
      <c r="C308" t="inlineStr">
        <is>
          <t>Clothing</t>
        </is>
      </c>
      <c r="D308" t="inlineStr">
        <is>
          <t>Festive Shopping</t>
        </is>
      </c>
      <c r="E308" s="7" t="n">
        <v>403.01</v>
      </c>
      <c r="F308" t="inlineStr">
        <is>
          <t>UPI</t>
        </is>
      </c>
      <c r="G308">
        <f>MONTH(A308)</f>
        <v/>
      </c>
      <c r="H308">
        <f>TEXT(A308,"mmm")</f>
        <v/>
      </c>
    </row>
    <row r="309">
      <c r="A309" s="6" t="n">
        <v>45774</v>
      </c>
      <c r="B309" t="inlineStr">
        <is>
          <t>Expense</t>
        </is>
      </c>
      <c r="C309" t="inlineStr">
        <is>
          <t>Transportation</t>
        </is>
      </c>
      <c r="D309" t="inlineStr">
        <is>
          <t>Cab Ride</t>
        </is>
      </c>
      <c r="E309" s="7" t="n">
        <v>91.12</v>
      </c>
      <c r="F309" t="inlineStr">
        <is>
          <t>UPI</t>
        </is>
      </c>
      <c r="G309">
        <f>MONTH(A309)</f>
        <v/>
      </c>
      <c r="H309">
        <f>TEXT(A309,"mmm")</f>
        <v/>
      </c>
    </row>
    <row r="310">
      <c r="A310" s="6" t="n">
        <v>45694</v>
      </c>
      <c r="B310" t="inlineStr">
        <is>
          <t>Expense</t>
        </is>
      </c>
      <c r="C310" t="inlineStr">
        <is>
          <t>Entertainment</t>
        </is>
      </c>
      <c r="D310" t="inlineStr">
        <is>
          <t>OTT Rental</t>
        </is>
      </c>
      <c r="E310" s="7" t="n">
        <v>236.1</v>
      </c>
      <c r="F310" t="inlineStr">
        <is>
          <t>Cash</t>
        </is>
      </c>
      <c r="G310">
        <f>MONTH(A310)</f>
        <v/>
      </c>
      <c r="H310">
        <f>TEXT(A310,"mmm")</f>
        <v/>
      </c>
    </row>
    <row r="311">
      <c r="A311" s="6" t="n">
        <v>45664</v>
      </c>
      <c r="B311" t="inlineStr">
        <is>
          <t>Expense</t>
        </is>
      </c>
      <c r="C311" t="inlineStr">
        <is>
          <t>Entertainment</t>
        </is>
      </c>
      <c r="D311" t="inlineStr">
        <is>
          <t>OTT Rental</t>
        </is>
      </c>
      <c r="E311" s="7" t="n">
        <v>234.09</v>
      </c>
      <c r="F311" t="inlineStr">
        <is>
          <t>Card</t>
        </is>
      </c>
      <c r="G311">
        <f>MONTH(A311)</f>
        <v/>
      </c>
      <c r="H311">
        <f>TEXT(A311,"mmm")</f>
        <v/>
      </c>
    </row>
    <row r="312">
      <c r="A312" s="6" t="n">
        <v>45804</v>
      </c>
      <c r="B312" t="inlineStr">
        <is>
          <t>Expense</t>
        </is>
      </c>
      <c r="C312" t="inlineStr">
        <is>
          <t>Transportation</t>
        </is>
      </c>
      <c r="D312" t="inlineStr">
        <is>
          <t>Cab Ride</t>
        </is>
      </c>
      <c r="E312" s="7" t="n">
        <v>56.03</v>
      </c>
      <c r="F312" t="inlineStr">
        <is>
          <t>UPI</t>
        </is>
      </c>
      <c r="G312">
        <f>MONTH(A312)</f>
        <v/>
      </c>
      <c r="H312">
        <f>TEXT(A312,"mmm")</f>
        <v/>
      </c>
    </row>
    <row r="313">
      <c r="A313" s="6" t="n">
        <v>45662</v>
      </c>
      <c r="B313" t="inlineStr">
        <is>
          <t>Expense</t>
        </is>
      </c>
      <c r="C313" t="inlineStr">
        <is>
          <t>Clothing</t>
        </is>
      </c>
      <c r="D313" t="inlineStr">
        <is>
          <t>Festive Shopping</t>
        </is>
      </c>
      <c r="E313" s="7" t="n">
        <v>770.4</v>
      </c>
      <c r="F313" t="inlineStr">
        <is>
          <t>UPI</t>
        </is>
      </c>
      <c r="G313">
        <f>MONTH(A313)</f>
        <v/>
      </c>
      <c r="H313">
        <f>TEXT(A313,"mmm")</f>
        <v/>
      </c>
    </row>
    <row r="314">
      <c r="A314" s="6" t="n">
        <v>45827</v>
      </c>
      <c r="B314" t="inlineStr">
        <is>
          <t>Expense</t>
        </is>
      </c>
      <c r="C314" t="inlineStr">
        <is>
          <t>Food &amp; Snacks</t>
        </is>
      </c>
      <c r="D314" t="inlineStr">
        <is>
          <t>Canteen</t>
        </is>
      </c>
      <c r="E314" s="7" t="n">
        <v>95.19</v>
      </c>
      <c r="F314" t="inlineStr">
        <is>
          <t>Cash</t>
        </is>
      </c>
      <c r="G314">
        <f>MONTH(A314)</f>
        <v/>
      </c>
      <c r="H314">
        <f>TEXT(A314,"mmm")</f>
        <v/>
      </c>
    </row>
    <row r="315">
      <c r="A315" s="6" t="n">
        <v>45778</v>
      </c>
      <c r="B315" t="inlineStr">
        <is>
          <t>Income</t>
        </is>
      </c>
      <c r="C315" t="inlineStr">
        <is>
          <t>Refund</t>
        </is>
      </c>
      <c r="D315" t="inlineStr">
        <is>
          <t>Refund for Returned Item</t>
        </is>
      </c>
      <c r="E315" s="7" t="n">
        <v>173.65</v>
      </c>
      <c r="F315" t="inlineStr">
        <is>
          <t>UPI</t>
        </is>
      </c>
      <c r="G315">
        <f>MONTH(A315)</f>
        <v/>
      </c>
      <c r="H315">
        <f>TEXT(A315,"mmm")</f>
        <v/>
      </c>
    </row>
    <row r="316">
      <c r="A316" s="6" t="n">
        <v>45937</v>
      </c>
      <c r="B316" t="inlineStr">
        <is>
          <t>Expense</t>
        </is>
      </c>
      <c r="C316" t="inlineStr">
        <is>
          <t>Personal Care</t>
        </is>
      </c>
      <c r="D316" t="inlineStr">
        <is>
          <t>Haircut</t>
        </is>
      </c>
      <c r="E316" s="7" t="n">
        <v>110.6</v>
      </c>
      <c r="F316" t="inlineStr">
        <is>
          <t>UPI</t>
        </is>
      </c>
      <c r="G316">
        <f>MONTH(A316)</f>
        <v/>
      </c>
      <c r="H316">
        <f>TEXT(A316,"mmm")</f>
        <v/>
      </c>
    </row>
    <row r="317">
      <c r="A317" s="6" t="n">
        <v>45898</v>
      </c>
      <c r="B317" t="inlineStr">
        <is>
          <t>Expense</t>
        </is>
      </c>
      <c r="C317" t="inlineStr">
        <is>
          <t>Education</t>
        </is>
      </c>
      <c r="D317" t="inlineStr">
        <is>
          <t>Reference Book</t>
        </is>
      </c>
      <c r="E317" s="7" t="n">
        <v>531.35</v>
      </c>
      <c r="F317" t="inlineStr">
        <is>
          <t>Card</t>
        </is>
      </c>
      <c r="G317">
        <f>MONTH(A317)</f>
        <v/>
      </c>
      <c r="H317">
        <f>TEXT(A317,"mmm")</f>
        <v/>
      </c>
    </row>
    <row r="318">
      <c r="A318" s="6" t="n">
        <v>45947</v>
      </c>
      <c r="B318" t="inlineStr">
        <is>
          <t>Expense</t>
        </is>
      </c>
      <c r="C318" t="inlineStr">
        <is>
          <t>Food &amp; Snacks</t>
        </is>
      </c>
      <c r="D318" t="inlineStr">
        <is>
          <t>Restaurant</t>
        </is>
      </c>
      <c r="E318" s="7" t="n">
        <v>248.3</v>
      </c>
      <c r="F318" t="inlineStr">
        <is>
          <t>UPI</t>
        </is>
      </c>
      <c r="G318">
        <f>MONTH(A318)</f>
        <v/>
      </c>
      <c r="H318">
        <f>TEXT(A318,"mmm")</f>
        <v/>
      </c>
    </row>
    <row r="319">
      <c r="A319" s="6" t="n">
        <v>45997</v>
      </c>
      <c r="B319" t="inlineStr">
        <is>
          <t>Expense</t>
        </is>
      </c>
      <c r="C319" t="inlineStr">
        <is>
          <t>Food &amp; Snacks</t>
        </is>
      </c>
      <c r="D319" t="inlineStr">
        <is>
          <t>Canteen</t>
        </is>
      </c>
      <c r="E319" s="7" t="n">
        <v>51.36</v>
      </c>
      <c r="F319" t="inlineStr">
        <is>
          <t>UPI</t>
        </is>
      </c>
      <c r="G319">
        <f>MONTH(A319)</f>
        <v/>
      </c>
      <c r="H319">
        <f>TEXT(A319,"mmm")</f>
        <v/>
      </c>
    </row>
    <row r="320">
      <c r="A320" s="6" t="n">
        <v>46001</v>
      </c>
      <c r="B320" t="inlineStr">
        <is>
          <t>Expense</t>
        </is>
      </c>
      <c r="C320" t="inlineStr">
        <is>
          <t>Transportation</t>
        </is>
      </c>
      <c r="D320" t="inlineStr">
        <is>
          <t>Bus Fare</t>
        </is>
      </c>
      <c r="E320" s="7" t="n">
        <v>58.67</v>
      </c>
      <c r="F320" t="inlineStr">
        <is>
          <t>Cash</t>
        </is>
      </c>
      <c r="G320">
        <f>MONTH(A320)</f>
        <v/>
      </c>
      <c r="H320">
        <f>TEXT(A320,"mmm")</f>
        <v/>
      </c>
    </row>
    <row r="321">
      <c r="A321" s="6" t="n">
        <v>45734</v>
      </c>
      <c r="B321" t="inlineStr">
        <is>
          <t>Expense</t>
        </is>
      </c>
      <c r="C321" t="inlineStr">
        <is>
          <t>Entertainment</t>
        </is>
      </c>
      <c r="D321" t="inlineStr">
        <is>
          <t>Movie Ticket</t>
        </is>
      </c>
      <c r="E321" s="7" t="n">
        <v>127.56</v>
      </c>
      <c r="F321" t="inlineStr">
        <is>
          <t>Cash</t>
        </is>
      </c>
      <c r="G321">
        <f>MONTH(A321)</f>
        <v/>
      </c>
      <c r="H321">
        <f>TEXT(A321,"mmm")</f>
        <v/>
      </c>
    </row>
    <row r="322">
      <c r="A322" s="6" t="n">
        <v>45833</v>
      </c>
      <c r="B322" t="inlineStr">
        <is>
          <t>Expense</t>
        </is>
      </c>
      <c r="C322" t="inlineStr">
        <is>
          <t>Food &amp; Snacks</t>
        </is>
      </c>
      <c r="D322" t="inlineStr">
        <is>
          <t>Tiffin</t>
        </is>
      </c>
      <c r="E322" s="7" t="n">
        <v>101.28</v>
      </c>
      <c r="F322" t="inlineStr">
        <is>
          <t>Card</t>
        </is>
      </c>
      <c r="G322">
        <f>MONTH(A322)</f>
        <v/>
      </c>
      <c r="H322">
        <f>TEXT(A322,"mmm")</f>
        <v/>
      </c>
    </row>
    <row r="323">
      <c r="A323" s="6" t="n">
        <v>46007</v>
      </c>
      <c r="B323" t="inlineStr">
        <is>
          <t>Expense</t>
        </is>
      </c>
      <c r="C323" t="inlineStr">
        <is>
          <t>Education</t>
        </is>
      </c>
      <c r="D323" t="inlineStr">
        <is>
          <t>Online Course Fee</t>
        </is>
      </c>
      <c r="E323" s="7" t="n">
        <v>637.55</v>
      </c>
      <c r="F323" t="inlineStr">
        <is>
          <t>UPI</t>
        </is>
      </c>
      <c r="G323">
        <f>MONTH(A323)</f>
        <v/>
      </c>
      <c r="H323">
        <f>TEXT(A323,"mmm")</f>
        <v/>
      </c>
    </row>
    <row r="324">
      <c r="A324" s="6" t="n">
        <v>45910</v>
      </c>
      <c r="B324" t="inlineStr">
        <is>
          <t>Expense</t>
        </is>
      </c>
      <c r="C324" t="inlineStr">
        <is>
          <t>Mobile &amp; Internet</t>
        </is>
      </c>
      <c r="D324" t="inlineStr">
        <is>
          <t>Monthly Recharge</t>
        </is>
      </c>
      <c r="E324" s="7" t="n">
        <v>286.05</v>
      </c>
      <c r="F324" t="inlineStr">
        <is>
          <t>Net Banking</t>
        </is>
      </c>
      <c r="G324">
        <f>MONTH(A324)</f>
        <v/>
      </c>
      <c r="H324">
        <f>TEXT(A324,"mmm")</f>
        <v/>
      </c>
    </row>
    <row r="325">
      <c r="A325" s="6" t="n">
        <v>45918</v>
      </c>
      <c r="B325" t="inlineStr">
        <is>
          <t>Expense</t>
        </is>
      </c>
      <c r="C325" t="inlineStr">
        <is>
          <t>Transportation</t>
        </is>
      </c>
      <c r="D325" t="inlineStr">
        <is>
          <t>Bus Fare</t>
        </is>
      </c>
      <c r="E325" s="7" t="n">
        <v>21.32</v>
      </c>
      <c r="F325" t="inlineStr">
        <is>
          <t>UPI</t>
        </is>
      </c>
      <c r="G325">
        <f>MONTH(A325)</f>
        <v/>
      </c>
      <c r="H325">
        <f>TEXT(A325,"mmm")</f>
        <v/>
      </c>
    </row>
    <row r="326">
      <c r="A326" s="6" t="n">
        <v>45722</v>
      </c>
      <c r="B326" t="inlineStr">
        <is>
          <t>Expense</t>
        </is>
      </c>
      <c r="C326" t="inlineStr">
        <is>
          <t>Food &amp; Snacks</t>
        </is>
      </c>
      <c r="D326" t="inlineStr">
        <is>
          <t>Tea/Snacks</t>
        </is>
      </c>
      <c r="E326" s="7" t="n">
        <v>61.91</v>
      </c>
      <c r="F326" t="inlineStr">
        <is>
          <t>UPI</t>
        </is>
      </c>
      <c r="G326">
        <f>MONTH(A326)</f>
        <v/>
      </c>
      <c r="H326">
        <f>TEXT(A326,"mmm")</f>
        <v/>
      </c>
    </row>
    <row r="327">
      <c r="A327" s="6" t="n">
        <v>45847</v>
      </c>
      <c r="B327" t="inlineStr">
        <is>
          <t>Expense</t>
        </is>
      </c>
      <c r="C327" t="inlineStr">
        <is>
          <t>Education</t>
        </is>
      </c>
      <c r="D327" t="inlineStr">
        <is>
          <t>Stationery</t>
        </is>
      </c>
      <c r="E327" s="7" t="n">
        <v>748.63</v>
      </c>
      <c r="F327" t="inlineStr">
        <is>
          <t>UPI</t>
        </is>
      </c>
      <c r="G327">
        <f>MONTH(A327)</f>
        <v/>
      </c>
      <c r="H327">
        <f>TEXT(A327,"mmm")</f>
        <v/>
      </c>
    </row>
    <row r="328">
      <c r="A328" s="6" t="n">
        <v>45990</v>
      </c>
      <c r="B328" t="inlineStr">
        <is>
          <t>Expense</t>
        </is>
      </c>
      <c r="C328" t="inlineStr">
        <is>
          <t>Transportation</t>
        </is>
      </c>
      <c r="D328" t="inlineStr">
        <is>
          <t>Metro Card Recharge</t>
        </is>
      </c>
      <c r="E328" s="7" t="n">
        <v>49.85</v>
      </c>
      <c r="F328" t="inlineStr">
        <is>
          <t>UPI</t>
        </is>
      </c>
      <c r="G328">
        <f>MONTH(A328)</f>
        <v/>
      </c>
      <c r="H328">
        <f>TEXT(A328,"mmm")</f>
        <v/>
      </c>
    </row>
    <row r="329">
      <c r="A329" s="6" t="n">
        <v>45756</v>
      </c>
      <c r="B329" t="inlineStr">
        <is>
          <t>Expense</t>
        </is>
      </c>
      <c r="C329" t="inlineStr">
        <is>
          <t>Food &amp; Snacks</t>
        </is>
      </c>
      <c r="D329" t="inlineStr">
        <is>
          <t>Tea/Snacks</t>
        </is>
      </c>
      <c r="E329" s="7" t="n">
        <v>50.85</v>
      </c>
      <c r="F329" t="inlineStr">
        <is>
          <t>Cash</t>
        </is>
      </c>
      <c r="G329">
        <f>MONTH(A329)</f>
        <v/>
      </c>
      <c r="H329">
        <f>TEXT(A329,"mmm")</f>
        <v/>
      </c>
    </row>
    <row r="330">
      <c r="A330" s="6" t="n">
        <v>46005</v>
      </c>
      <c r="B330" t="inlineStr">
        <is>
          <t>Expense</t>
        </is>
      </c>
      <c r="C330" t="inlineStr">
        <is>
          <t>Food &amp; Snacks</t>
        </is>
      </c>
      <c r="D330" t="inlineStr">
        <is>
          <t>Grocery</t>
        </is>
      </c>
      <c r="E330" s="7" t="n">
        <v>125.92</v>
      </c>
      <c r="F330" t="inlineStr">
        <is>
          <t>Net Banking</t>
        </is>
      </c>
      <c r="G330">
        <f>MONTH(A330)</f>
        <v/>
      </c>
      <c r="H330">
        <f>TEXT(A330,"mmm")</f>
        <v/>
      </c>
    </row>
    <row r="331">
      <c r="A331" s="6" t="n">
        <v>45773</v>
      </c>
      <c r="B331" t="inlineStr">
        <is>
          <t>Expense</t>
        </is>
      </c>
      <c r="C331" t="inlineStr">
        <is>
          <t>Savings</t>
        </is>
      </c>
      <c r="D331" t="inlineStr">
        <is>
          <t>Transfer to Savings Account</t>
        </is>
      </c>
      <c r="E331" s="7" t="n">
        <v>633.36</v>
      </c>
      <c r="F331" t="inlineStr">
        <is>
          <t>UPI</t>
        </is>
      </c>
      <c r="G331">
        <f>MONTH(A331)</f>
        <v/>
      </c>
      <c r="H331">
        <f>TEXT(A331,"mmm")</f>
        <v/>
      </c>
    </row>
    <row r="332">
      <c r="A332" s="6" t="n">
        <v>45669</v>
      </c>
      <c r="B332" t="inlineStr">
        <is>
          <t>Expense</t>
        </is>
      </c>
      <c r="C332" t="inlineStr">
        <is>
          <t>Transportation</t>
        </is>
      </c>
      <c r="D332" t="inlineStr">
        <is>
          <t>Fuel</t>
        </is>
      </c>
      <c r="E332" s="7" t="n">
        <v>76.75</v>
      </c>
      <c r="F332" t="inlineStr">
        <is>
          <t>Cash</t>
        </is>
      </c>
      <c r="G332">
        <f>MONTH(A332)</f>
        <v/>
      </c>
      <c r="H332">
        <f>TEXT(A332,"mmm")</f>
        <v/>
      </c>
    </row>
    <row r="333">
      <c r="A333" s="6" t="n">
        <v>45763</v>
      </c>
      <c r="B333" t="inlineStr">
        <is>
          <t>Expense</t>
        </is>
      </c>
      <c r="C333" t="inlineStr">
        <is>
          <t>Education</t>
        </is>
      </c>
      <c r="D333" t="inlineStr">
        <is>
          <t>Stationery</t>
        </is>
      </c>
      <c r="E333" s="7" t="n">
        <v>386.36</v>
      </c>
      <c r="F333" t="inlineStr">
        <is>
          <t>Cash</t>
        </is>
      </c>
      <c r="G333">
        <f>MONTH(A333)</f>
        <v/>
      </c>
      <c r="H333">
        <f>TEXT(A333,"mmm")</f>
        <v/>
      </c>
    </row>
    <row r="334">
      <c r="A334" s="6" t="n">
        <v>45727</v>
      </c>
      <c r="B334" t="inlineStr">
        <is>
          <t>Expense</t>
        </is>
      </c>
      <c r="C334" t="inlineStr">
        <is>
          <t>Transportation</t>
        </is>
      </c>
      <c r="D334" t="inlineStr">
        <is>
          <t>Metro Card Recharge</t>
        </is>
      </c>
      <c r="E334" s="7" t="n">
        <v>41.78</v>
      </c>
      <c r="F334" t="inlineStr">
        <is>
          <t>UPI</t>
        </is>
      </c>
      <c r="G334">
        <f>MONTH(A334)</f>
        <v/>
      </c>
      <c r="H334">
        <f>TEXT(A334,"mmm")</f>
        <v/>
      </c>
    </row>
    <row r="335">
      <c r="A335" s="6" t="n">
        <v>45797</v>
      </c>
      <c r="B335" t="inlineStr">
        <is>
          <t>Expense</t>
        </is>
      </c>
      <c r="C335" t="inlineStr">
        <is>
          <t>Transportation</t>
        </is>
      </c>
      <c r="D335" t="inlineStr">
        <is>
          <t>Fuel</t>
        </is>
      </c>
      <c r="E335" s="7" t="n">
        <v>30.09</v>
      </c>
      <c r="F335" t="inlineStr">
        <is>
          <t>UPI</t>
        </is>
      </c>
      <c r="G335">
        <f>MONTH(A335)</f>
        <v/>
      </c>
      <c r="H335">
        <f>TEXT(A335,"mmm")</f>
        <v/>
      </c>
    </row>
    <row r="336">
      <c r="A336" s="6" t="n">
        <v>45918</v>
      </c>
      <c r="B336" t="inlineStr">
        <is>
          <t>Expense</t>
        </is>
      </c>
      <c r="C336" t="inlineStr">
        <is>
          <t>Food &amp; Snacks</t>
        </is>
      </c>
      <c r="D336" t="inlineStr">
        <is>
          <t>Tiffin</t>
        </is>
      </c>
      <c r="E336" s="7" t="n">
        <v>115.31</v>
      </c>
      <c r="F336" t="inlineStr">
        <is>
          <t>UPI</t>
        </is>
      </c>
      <c r="G336">
        <f>MONTH(A336)</f>
        <v/>
      </c>
      <c r="H336">
        <f>TEXT(A336,"mmm")</f>
        <v/>
      </c>
    </row>
    <row r="337">
      <c r="A337" s="6" t="n">
        <v>45685</v>
      </c>
      <c r="B337" t="inlineStr">
        <is>
          <t>Expense</t>
        </is>
      </c>
      <c r="C337" t="inlineStr">
        <is>
          <t>Food &amp; Snacks</t>
        </is>
      </c>
      <c r="D337" t="inlineStr">
        <is>
          <t>Tea/Snacks</t>
        </is>
      </c>
      <c r="E337" s="7" t="n">
        <v>106.54</v>
      </c>
      <c r="F337" t="inlineStr">
        <is>
          <t>UPI</t>
        </is>
      </c>
      <c r="G337">
        <f>MONTH(A337)</f>
        <v/>
      </c>
      <c r="H337">
        <f>TEXT(A337,"mmm")</f>
        <v/>
      </c>
    </row>
    <row r="338">
      <c r="A338" s="6" t="n">
        <v>45885</v>
      </c>
      <c r="B338" t="inlineStr">
        <is>
          <t>Expense</t>
        </is>
      </c>
      <c r="C338" t="inlineStr">
        <is>
          <t>Food &amp; Snacks</t>
        </is>
      </c>
      <c r="D338" t="inlineStr">
        <is>
          <t>Tiffin</t>
        </is>
      </c>
      <c r="E338" s="7" t="n">
        <v>215.32</v>
      </c>
      <c r="F338" t="inlineStr">
        <is>
          <t>Cash</t>
        </is>
      </c>
      <c r="G338">
        <f>MONTH(A338)</f>
        <v/>
      </c>
      <c r="H338">
        <f>TEXT(A338,"mmm")</f>
        <v/>
      </c>
    </row>
    <row r="339">
      <c r="A339" s="6" t="n">
        <v>45849</v>
      </c>
      <c r="B339" t="inlineStr">
        <is>
          <t>Expense</t>
        </is>
      </c>
      <c r="C339" t="inlineStr">
        <is>
          <t>Food &amp; Snacks</t>
        </is>
      </c>
      <c r="D339" t="inlineStr">
        <is>
          <t>Mess Bill</t>
        </is>
      </c>
      <c r="E339" s="7" t="n">
        <v>132.15</v>
      </c>
      <c r="F339" t="inlineStr">
        <is>
          <t>Card</t>
        </is>
      </c>
      <c r="G339">
        <f>MONTH(A339)</f>
        <v/>
      </c>
      <c r="H339">
        <f>TEXT(A339,"mmm")</f>
        <v/>
      </c>
    </row>
    <row r="340">
      <c r="A340" s="6" t="n">
        <v>45853</v>
      </c>
      <c r="B340" t="inlineStr">
        <is>
          <t>Expense</t>
        </is>
      </c>
      <c r="C340" t="inlineStr">
        <is>
          <t>Food &amp; Snacks</t>
        </is>
      </c>
      <c r="D340" t="inlineStr">
        <is>
          <t>Mess Bill</t>
        </is>
      </c>
      <c r="E340" s="7" t="n">
        <v>234.93</v>
      </c>
      <c r="F340" t="inlineStr">
        <is>
          <t>UPI</t>
        </is>
      </c>
      <c r="G340">
        <f>MONTH(A340)</f>
        <v/>
      </c>
      <c r="H340">
        <f>TEXT(A340,"mmm")</f>
        <v/>
      </c>
    </row>
    <row r="341">
      <c r="A341" s="6" t="n">
        <v>45778</v>
      </c>
      <c r="B341" t="inlineStr">
        <is>
          <t>Expense</t>
        </is>
      </c>
      <c r="C341" t="inlineStr">
        <is>
          <t>Subscriptions</t>
        </is>
      </c>
      <c r="D341" t="inlineStr">
        <is>
          <t>Spotify Premium</t>
        </is>
      </c>
      <c r="E341" s="7" t="n">
        <v>193.69</v>
      </c>
      <c r="F341" t="inlineStr">
        <is>
          <t>UPI</t>
        </is>
      </c>
      <c r="G341">
        <f>MONTH(A341)</f>
        <v/>
      </c>
      <c r="H341">
        <f>TEXT(A341,"mmm")</f>
        <v/>
      </c>
    </row>
    <row r="342">
      <c r="A342" s="6" t="n">
        <v>45969</v>
      </c>
      <c r="B342" t="inlineStr">
        <is>
          <t>Expense</t>
        </is>
      </c>
      <c r="C342" t="inlineStr">
        <is>
          <t>Entertainment</t>
        </is>
      </c>
      <c r="D342" t="inlineStr">
        <is>
          <t>OTT Rental</t>
        </is>
      </c>
      <c r="E342" s="7" t="n">
        <v>143.31</v>
      </c>
      <c r="F342" t="inlineStr">
        <is>
          <t>Cash</t>
        </is>
      </c>
      <c r="G342">
        <f>MONTH(A342)</f>
        <v/>
      </c>
      <c r="H342">
        <f>TEXT(A342,"mmm")</f>
        <v/>
      </c>
    </row>
    <row r="343">
      <c r="A343" s="6" t="n">
        <v>45710</v>
      </c>
      <c r="B343" t="inlineStr">
        <is>
          <t>Expense</t>
        </is>
      </c>
      <c r="C343" t="inlineStr">
        <is>
          <t>Personal Care</t>
        </is>
      </c>
      <c r="D343" t="inlineStr">
        <is>
          <t>Haircut</t>
        </is>
      </c>
      <c r="E343" s="7" t="n">
        <v>199.01</v>
      </c>
      <c r="F343" t="inlineStr">
        <is>
          <t>UPI</t>
        </is>
      </c>
      <c r="G343">
        <f>MONTH(A343)</f>
        <v/>
      </c>
      <c r="H343">
        <f>TEXT(A343,"mmm")</f>
        <v/>
      </c>
    </row>
    <row r="344">
      <c r="A344" s="6" t="n">
        <v>45844</v>
      </c>
      <c r="B344" t="inlineStr">
        <is>
          <t>Expense</t>
        </is>
      </c>
      <c r="C344" t="inlineStr">
        <is>
          <t>Food &amp; Snacks</t>
        </is>
      </c>
      <c r="D344" t="inlineStr">
        <is>
          <t>Mess Bill</t>
        </is>
      </c>
      <c r="E344" s="7" t="n">
        <v>72.47</v>
      </c>
      <c r="F344" t="inlineStr">
        <is>
          <t>UPI</t>
        </is>
      </c>
      <c r="G344">
        <f>MONTH(A344)</f>
        <v/>
      </c>
      <c r="H344">
        <f>TEXT(A344,"mmm")</f>
        <v/>
      </c>
    </row>
    <row r="345">
      <c r="A345" s="6" t="n">
        <v>46020</v>
      </c>
      <c r="B345" t="inlineStr">
        <is>
          <t>Expense</t>
        </is>
      </c>
      <c r="C345" t="inlineStr">
        <is>
          <t>Entertainment</t>
        </is>
      </c>
      <c r="D345" t="inlineStr">
        <is>
          <t>Movie Ticket</t>
        </is>
      </c>
      <c r="E345" s="7" t="n">
        <v>261.67</v>
      </c>
      <c r="F345" t="inlineStr">
        <is>
          <t>UPI</t>
        </is>
      </c>
      <c r="G345">
        <f>MONTH(A345)</f>
        <v/>
      </c>
      <c r="H345">
        <f>TEXT(A345,"mmm")</f>
        <v/>
      </c>
    </row>
    <row r="346">
      <c r="A346" s="6" t="n">
        <v>45690</v>
      </c>
      <c r="B346" t="inlineStr">
        <is>
          <t>Expense</t>
        </is>
      </c>
      <c r="C346" t="inlineStr">
        <is>
          <t>Food &amp; Snacks</t>
        </is>
      </c>
      <c r="D346" t="inlineStr">
        <is>
          <t>Restaurant</t>
        </is>
      </c>
      <c r="E346" s="7" t="n">
        <v>57.11</v>
      </c>
      <c r="F346" t="inlineStr">
        <is>
          <t>UPI</t>
        </is>
      </c>
      <c r="G346">
        <f>MONTH(A346)</f>
        <v/>
      </c>
      <c r="H346">
        <f>TEXT(A346,"mmm")</f>
        <v/>
      </c>
    </row>
    <row r="347">
      <c r="A347" s="6" t="n">
        <v>45957</v>
      </c>
      <c r="B347" t="inlineStr">
        <is>
          <t>Expense</t>
        </is>
      </c>
      <c r="C347" t="inlineStr">
        <is>
          <t>Transportation</t>
        </is>
      </c>
      <c r="D347" t="inlineStr">
        <is>
          <t>Metro Card Recharge</t>
        </is>
      </c>
      <c r="E347" s="7" t="n">
        <v>97.63</v>
      </c>
      <c r="F347" t="inlineStr">
        <is>
          <t>UPI</t>
        </is>
      </c>
      <c r="G347">
        <f>MONTH(A347)</f>
        <v/>
      </c>
      <c r="H347">
        <f>TEXT(A347,"mmm")</f>
        <v/>
      </c>
    </row>
    <row r="348">
      <c r="A348" s="6" t="n">
        <v>45872</v>
      </c>
      <c r="B348" t="inlineStr">
        <is>
          <t>Expense</t>
        </is>
      </c>
      <c r="C348" t="inlineStr">
        <is>
          <t>Transportation</t>
        </is>
      </c>
      <c r="D348" t="inlineStr">
        <is>
          <t>Bus Fare</t>
        </is>
      </c>
      <c r="E348" s="7" t="n">
        <v>40.52</v>
      </c>
      <c r="F348" t="inlineStr">
        <is>
          <t>UPI</t>
        </is>
      </c>
      <c r="G348">
        <f>MONTH(A348)</f>
        <v/>
      </c>
      <c r="H348">
        <f>TEXT(A348,"mmm")</f>
        <v/>
      </c>
    </row>
    <row r="349">
      <c r="A349" s="6" t="n">
        <v>45765</v>
      </c>
      <c r="B349" t="inlineStr">
        <is>
          <t>Expense</t>
        </is>
      </c>
      <c r="C349" t="inlineStr">
        <is>
          <t>Transportation</t>
        </is>
      </c>
      <c r="D349" t="inlineStr">
        <is>
          <t>Auto/Rickshaw</t>
        </is>
      </c>
      <c r="E349" s="7" t="n">
        <v>38.01</v>
      </c>
      <c r="F349" t="inlineStr">
        <is>
          <t>UPI</t>
        </is>
      </c>
      <c r="G349">
        <f>MONTH(A349)</f>
        <v/>
      </c>
      <c r="H349">
        <f>TEXT(A349,"mmm")</f>
        <v/>
      </c>
    </row>
    <row r="350">
      <c r="A350" s="6" t="n">
        <v>45979</v>
      </c>
      <c r="B350" t="inlineStr">
        <is>
          <t>Expense</t>
        </is>
      </c>
      <c r="C350" t="inlineStr">
        <is>
          <t>Food &amp; Snacks</t>
        </is>
      </c>
      <c r="D350" t="inlineStr">
        <is>
          <t>Tea/Snacks</t>
        </is>
      </c>
      <c r="E350" s="7" t="n">
        <v>161.21</v>
      </c>
      <c r="F350" t="inlineStr">
        <is>
          <t>UPI</t>
        </is>
      </c>
      <c r="G350">
        <f>MONTH(A350)</f>
        <v/>
      </c>
      <c r="H350">
        <f>TEXT(A350,"mmm")</f>
        <v/>
      </c>
    </row>
    <row r="351">
      <c r="A351" s="6" t="n">
        <v>45975</v>
      </c>
      <c r="B351" t="inlineStr">
        <is>
          <t>Expense</t>
        </is>
      </c>
      <c r="C351" t="inlineStr">
        <is>
          <t>Personal Care</t>
        </is>
      </c>
      <c r="D351" t="inlineStr">
        <is>
          <t>Haircut</t>
        </is>
      </c>
      <c r="E351" s="7" t="n">
        <v>288.92</v>
      </c>
      <c r="F351" t="inlineStr">
        <is>
          <t>Card</t>
        </is>
      </c>
      <c r="G351">
        <f>MONTH(A351)</f>
        <v/>
      </c>
      <c r="H351">
        <f>TEXT(A351,"mmm")</f>
        <v/>
      </c>
    </row>
    <row r="352">
      <c r="A352" s="6" t="n">
        <v>45818</v>
      </c>
      <c r="B352" t="inlineStr">
        <is>
          <t>Expense</t>
        </is>
      </c>
      <c r="C352" t="inlineStr">
        <is>
          <t>Transportation</t>
        </is>
      </c>
      <c r="D352" t="inlineStr">
        <is>
          <t>Auto/Rickshaw</t>
        </is>
      </c>
      <c r="E352" s="7" t="n">
        <v>98.72</v>
      </c>
      <c r="F352" t="inlineStr">
        <is>
          <t>UPI</t>
        </is>
      </c>
      <c r="G352">
        <f>MONTH(A352)</f>
        <v/>
      </c>
      <c r="H352">
        <f>TEXT(A352,"mmm")</f>
        <v/>
      </c>
    </row>
    <row r="353">
      <c r="A353" s="6" t="n">
        <v>45703</v>
      </c>
      <c r="B353" t="inlineStr">
        <is>
          <t>Expense</t>
        </is>
      </c>
      <c r="C353" t="inlineStr">
        <is>
          <t>Transportation</t>
        </is>
      </c>
      <c r="D353" t="inlineStr">
        <is>
          <t>Cab Ride</t>
        </is>
      </c>
      <c r="E353" s="7" t="n">
        <v>21.91</v>
      </c>
      <c r="F353" t="inlineStr">
        <is>
          <t>UPI</t>
        </is>
      </c>
      <c r="G353">
        <f>MONTH(A353)</f>
        <v/>
      </c>
      <c r="H353">
        <f>TEXT(A353,"mmm")</f>
        <v/>
      </c>
    </row>
    <row r="354">
      <c r="A354" s="6" t="n">
        <v>45762</v>
      </c>
      <c r="B354" t="inlineStr">
        <is>
          <t>Expense</t>
        </is>
      </c>
      <c r="C354" t="inlineStr">
        <is>
          <t>Food &amp; Snacks</t>
        </is>
      </c>
      <c r="D354" t="inlineStr">
        <is>
          <t>Mess Bill</t>
        </is>
      </c>
      <c r="E354" s="7" t="n">
        <v>240.86</v>
      </c>
      <c r="F354" t="inlineStr">
        <is>
          <t>Cash</t>
        </is>
      </c>
      <c r="G354">
        <f>MONTH(A354)</f>
        <v/>
      </c>
      <c r="H354">
        <f>TEXT(A354,"mmm")</f>
        <v/>
      </c>
    </row>
    <row r="355">
      <c r="A355" s="6" t="n">
        <v>45664</v>
      </c>
      <c r="B355" t="inlineStr">
        <is>
          <t>Expense</t>
        </is>
      </c>
      <c r="C355" t="inlineStr">
        <is>
          <t>Food &amp; Snacks</t>
        </is>
      </c>
      <c r="D355" t="inlineStr">
        <is>
          <t>Restaurant</t>
        </is>
      </c>
      <c r="E355" s="7" t="n">
        <v>231.92</v>
      </c>
      <c r="F355" t="inlineStr">
        <is>
          <t>UPI</t>
        </is>
      </c>
      <c r="G355">
        <f>MONTH(A355)</f>
        <v/>
      </c>
      <c r="H355">
        <f>TEXT(A355,"mmm")</f>
        <v/>
      </c>
    </row>
    <row r="356">
      <c r="A356" s="6" t="n">
        <v>45722</v>
      </c>
      <c r="B356" t="inlineStr">
        <is>
          <t>Expense</t>
        </is>
      </c>
      <c r="C356" t="inlineStr">
        <is>
          <t>Transportation</t>
        </is>
      </c>
      <c r="D356" t="inlineStr">
        <is>
          <t>Metro Card Recharge</t>
        </is>
      </c>
      <c r="E356" s="7" t="n">
        <v>86.93000000000001</v>
      </c>
      <c r="F356" t="inlineStr">
        <is>
          <t>Net Banking</t>
        </is>
      </c>
      <c r="G356">
        <f>MONTH(A356)</f>
        <v/>
      </c>
      <c r="H356">
        <f>TEXT(A356,"mmm")</f>
        <v/>
      </c>
    </row>
    <row r="357">
      <c r="A357" s="6" t="n">
        <v>45902</v>
      </c>
      <c r="B357" t="inlineStr">
        <is>
          <t>Expense</t>
        </is>
      </c>
      <c r="C357" t="inlineStr">
        <is>
          <t>Transportation</t>
        </is>
      </c>
      <c r="D357" t="inlineStr">
        <is>
          <t>Auto/Rickshaw</t>
        </is>
      </c>
      <c r="E357" s="7" t="n">
        <v>30.06</v>
      </c>
      <c r="F357" t="inlineStr">
        <is>
          <t>UPI</t>
        </is>
      </c>
      <c r="G357">
        <f>MONTH(A357)</f>
        <v/>
      </c>
      <c r="H357">
        <f>TEXT(A357,"mmm")</f>
        <v/>
      </c>
    </row>
    <row r="358">
      <c r="A358" s="6" t="n">
        <v>45686</v>
      </c>
      <c r="B358" t="inlineStr">
        <is>
          <t>Expense</t>
        </is>
      </c>
      <c r="C358" t="inlineStr">
        <is>
          <t>Food &amp; Snacks</t>
        </is>
      </c>
      <c r="D358" t="inlineStr">
        <is>
          <t>Mess Bill</t>
        </is>
      </c>
      <c r="E358" s="7" t="n">
        <v>111.6</v>
      </c>
      <c r="F358" t="inlineStr">
        <is>
          <t>UPI</t>
        </is>
      </c>
      <c r="G358">
        <f>MONTH(A358)</f>
        <v/>
      </c>
      <c r="H358">
        <f>TEXT(A358,"mmm")</f>
        <v/>
      </c>
    </row>
    <row r="359">
      <c r="A359" s="6" t="n">
        <v>45987</v>
      </c>
      <c r="B359" t="inlineStr">
        <is>
          <t>Expense</t>
        </is>
      </c>
      <c r="C359" t="inlineStr">
        <is>
          <t>Transportation</t>
        </is>
      </c>
      <c r="D359" t="inlineStr">
        <is>
          <t>Cab Ride</t>
        </is>
      </c>
      <c r="E359" s="7" t="n">
        <v>80.70999999999999</v>
      </c>
      <c r="F359" t="inlineStr">
        <is>
          <t>UPI</t>
        </is>
      </c>
      <c r="G359">
        <f>MONTH(A359)</f>
        <v/>
      </c>
      <c r="H359">
        <f>TEXT(A359,"mmm")</f>
        <v/>
      </c>
    </row>
    <row r="360">
      <c r="A360" s="6" t="n">
        <v>45718</v>
      </c>
      <c r="B360" t="inlineStr">
        <is>
          <t>Expense</t>
        </is>
      </c>
      <c r="C360" t="inlineStr">
        <is>
          <t>Food &amp; Snacks</t>
        </is>
      </c>
      <c r="D360" t="inlineStr">
        <is>
          <t>Mess Bill</t>
        </is>
      </c>
      <c r="E360" s="7" t="n">
        <v>90.7</v>
      </c>
      <c r="F360" t="inlineStr">
        <is>
          <t>UPI</t>
        </is>
      </c>
      <c r="G360">
        <f>MONTH(A360)</f>
        <v/>
      </c>
      <c r="H360">
        <f>TEXT(A360,"mmm")</f>
        <v/>
      </c>
    </row>
    <row r="361">
      <c r="A361" s="6" t="n">
        <v>45959</v>
      </c>
      <c r="B361" t="inlineStr">
        <is>
          <t>Expense</t>
        </is>
      </c>
      <c r="C361" t="inlineStr">
        <is>
          <t>Transportation</t>
        </is>
      </c>
      <c r="D361" t="inlineStr">
        <is>
          <t>Fuel</t>
        </is>
      </c>
      <c r="E361" s="7" t="n">
        <v>52.22</v>
      </c>
      <c r="F361" t="inlineStr">
        <is>
          <t>Cash</t>
        </is>
      </c>
      <c r="G361">
        <f>MONTH(A361)</f>
        <v/>
      </c>
      <c r="H361">
        <f>TEXT(A361,"mmm")</f>
        <v/>
      </c>
    </row>
    <row r="362">
      <c r="A362" s="6" t="n">
        <v>45783</v>
      </c>
      <c r="B362" t="inlineStr">
        <is>
          <t>Expense</t>
        </is>
      </c>
      <c r="C362" t="inlineStr">
        <is>
          <t>Food &amp; Snacks</t>
        </is>
      </c>
      <c r="D362" t="inlineStr">
        <is>
          <t>Tea/Snacks</t>
        </is>
      </c>
      <c r="E362" s="7" t="n">
        <v>164</v>
      </c>
      <c r="F362" t="inlineStr">
        <is>
          <t>UPI</t>
        </is>
      </c>
      <c r="G362">
        <f>MONTH(A362)</f>
        <v/>
      </c>
      <c r="H362">
        <f>TEXT(A362,"mmm")</f>
        <v/>
      </c>
    </row>
    <row r="363">
      <c r="A363" s="6" t="n">
        <v>45950</v>
      </c>
      <c r="B363" t="inlineStr">
        <is>
          <t>Expense</t>
        </is>
      </c>
      <c r="C363" t="inlineStr">
        <is>
          <t>Food &amp; Snacks</t>
        </is>
      </c>
      <c r="D363" t="inlineStr">
        <is>
          <t>Grocery</t>
        </is>
      </c>
      <c r="E363" s="7" t="n">
        <v>57.67</v>
      </c>
      <c r="F363" t="inlineStr">
        <is>
          <t>UPI</t>
        </is>
      </c>
      <c r="G363">
        <f>MONTH(A363)</f>
        <v/>
      </c>
      <c r="H363">
        <f>TEXT(A363,"mmm")</f>
        <v/>
      </c>
    </row>
    <row r="364">
      <c r="A364" s="6" t="n">
        <v>45703</v>
      </c>
      <c r="B364" t="inlineStr">
        <is>
          <t>Expense</t>
        </is>
      </c>
      <c r="C364" t="inlineStr">
        <is>
          <t>Education</t>
        </is>
      </c>
      <c r="D364" t="inlineStr">
        <is>
          <t>Reference Book</t>
        </is>
      </c>
      <c r="E364" s="7" t="n">
        <v>54.63</v>
      </c>
      <c r="F364" t="inlineStr">
        <is>
          <t>Cash</t>
        </is>
      </c>
      <c r="G364">
        <f>MONTH(A364)</f>
        <v/>
      </c>
      <c r="H364">
        <f>TEXT(A364,"mmm")</f>
        <v/>
      </c>
    </row>
    <row r="365">
      <c r="A365" s="6" t="n">
        <v>45865</v>
      </c>
      <c r="B365" t="inlineStr">
        <is>
          <t>Expense</t>
        </is>
      </c>
      <c r="C365" t="inlineStr">
        <is>
          <t>Transportation</t>
        </is>
      </c>
      <c r="D365" t="inlineStr">
        <is>
          <t>Metro Card Recharge</t>
        </is>
      </c>
      <c r="E365" s="7" t="n">
        <v>70.93000000000001</v>
      </c>
      <c r="F365" t="inlineStr">
        <is>
          <t>UPI</t>
        </is>
      </c>
      <c r="G365">
        <f>MONTH(A365)</f>
        <v/>
      </c>
      <c r="H365">
        <f>TEXT(A365,"mmm")</f>
        <v/>
      </c>
    </row>
    <row r="366">
      <c r="A366" s="6" t="n">
        <v>45927</v>
      </c>
      <c r="B366" t="inlineStr">
        <is>
          <t>Expense</t>
        </is>
      </c>
      <c r="C366" t="inlineStr">
        <is>
          <t>Entertainment</t>
        </is>
      </c>
      <c r="D366" t="inlineStr">
        <is>
          <t>Outing with Friends</t>
        </is>
      </c>
      <c r="E366" s="7" t="n">
        <v>449.04</v>
      </c>
      <c r="F366" t="inlineStr">
        <is>
          <t>UPI</t>
        </is>
      </c>
      <c r="G366">
        <f>MONTH(A366)</f>
        <v/>
      </c>
      <c r="H366">
        <f>TEXT(A366,"mmm")</f>
        <v/>
      </c>
    </row>
    <row r="367">
      <c r="A367" s="6" t="n">
        <v>45792</v>
      </c>
      <c r="B367" t="inlineStr">
        <is>
          <t>Expense</t>
        </is>
      </c>
      <c r="C367" t="inlineStr">
        <is>
          <t>Food &amp; Snacks</t>
        </is>
      </c>
      <c r="D367" t="inlineStr">
        <is>
          <t>Mess Bill</t>
        </is>
      </c>
      <c r="E367" s="7" t="n">
        <v>207.35</v>
      </c>
      <c r="F367" t="inlineStr">
        <is>
          <t>UPI</t>
        </is>
      </c>
      <c r="G367">
        <f>MONTH(A367)</f>
        <v/>
      </c>
      <c r="H367">
        <f>TEXT(A367,"mmm")</f>
        <v/>
      </c>
    </row>
    <row r="368">
      <c r="A368" s="6" t="n">
        <v>45876</v>
      </c>
      <c r="B368" t="inlineStr">
        <is>
          <t>Expense</t>
        </is>
      </c>
      <c r="C368" t="inlineStr">
        <is>
          <t>Food &amp; Snacks</t>
        </is>
      </c>
      <c r="D368" t="inlineStr">
        <is>
          <t>Mess Bill</t>
        </is>
      </c>
      <c r="E368" s="7" t="n">
        <v>102.07</v>
      </c>
      <c r="F368" t="inlineStr">
        <is>
          <t>UPI</t>
        </is>
      </c>
      <c r="G368">
        <f>MONTH(A368)</f>
        <v/>
      </c>
      <c r="H368">
        <f>TEXT(A368,"mmm")</f>
        <v/>
      </c>
    </row>
    <row r="369">
      <c r="A369" s="6" t="n">
        <v>45701</v>
      </c>
      <c r="B369" t="inlineStr">
        <is>
          <t>Expense</t>
        </is>
      </c>
      <c r="C369" t="inlineStr">
        <is>
          <t>Mobile &amp; Internet</t>
        </is>
      </c>
      <c r="D369" t="inlineStr">
        <is>
          <t>Monthly Recharge</t>
        </is>
      </c>
      <c r="E369" s="7" t="n">
        <v>266.29</v>
      </c>
      <c r="F369" t="inlineStr">
        <is>
          <t>UPI</t>
        </is>
      </c>
      <c r="G369">
        <f>MONTH(A369)</f>
        <v/>
      </c>
      <c r="H369">
        <f>TEXT(A369,"mmm")</f>
        <v/>
      </c>
    </row>
    <row r="370">
      <c r="A370" s="6" t="n">
        <v>45745</v>
      </c>
      <c r="B370" t="inlineStr">
        <is>
          <t>Expense</t>
        </is>
      </c>
      <c r="C370" t="inlineStr">
        <is>
          <t>Mobile &amp; Internet</t>
        </is>
      </c>
      <c r="D370" t="inlineStr">
        <is>
          <t>Monthly Recharge</t>
        </is>
      </c>
      <c r="E370" s="7" t="n">
        <v>311.03</v>
      </c>
      <c r="F370" t="inlineStr">
        <is>
          <t>Cash</t>
        </is>
      </c>
      <c r="G370">
        <f>MONTH(A370)</f>
        <v/>
      </c>
      <c r="H370">
        <f>TEXT(A370,"mmm")</f>
        <v/>
      </c>
    </row>
    <row r="371">
      <c r="A371" s="6" t="n">
        <v>45706</v>
      </c>
      <c r="B371" t="inlineStr">
        <is>
          <t>Expense</t>
        </is>
      </c>
      <c r="C371" t="inlineStr">
        <is>
          <t>Miscellaneous</t>
        </is>
      </c>
      <c r="D371" t="inlineStr">
        <is>
          <t>Other</t>
        </is>
      </c>
      <c r="E371" s="7" t="n">
        <v>151.28</v>
      </c>
      <c r="F371" t="inlineStr">
        <is>
          <t>UPI</t>
        </is>
      </c>
      <c r="G371">
        <f>MONTH(A371)</f>
        <v/>
      </c>
      <c r="H371">
        <f>TEXT(A371,"mmm")</f>
        <v/>
      </c>
    </row>
    <row r="372">
      <c r="A372" s="6" t="n">
        <v>45899</v>
      </c>
      <c r="B372" t="inlineStr">
        <is>
          <t>Expense</t>
        </is>
      </c>
      <c r="C372" t="inlineStr">
        <is>
          <t>Food &amp; Snacks</t>
        </is>
      </c>
      <c r="D372" t="inlineStr">
        <is>
          <t>Tea/Snacks</t>
        </is>
      </c>
      <c r="E372" s="7" t="n">
        <v>124.18</v>
      </c>
      <c r="F372" t="inlineStr">
        <is>
          <t>UPI</t>
        </is>
      </c>
      <c r="G372">
        <f>MONTH(A372)</f>
        <v/>
      </c>
      <c r="H372">
        <f>TEXT(A372,"mmm")</f>
        <v/>
      </c>
    </row>
    <row r="373">
      <c r="A373" s="6" t="n">
        <v>45931</v>
      </c>
      <c r="B373" t="inlineStr">
        <is>
          <t>Expense</t>
        </is>
      </c>
      <c r="C373" t="inlineStr">
        <is>
          <t>Mobile &amp; Internet</t>
        </is>
      </c>
      <c r="D373" t="inlineStr">
        <is>
          <t>Monthly Recharge</t>
        </is>
      </c>
      <c r="E373" s="7" t="n">
        <v>269.69</v>
      </c>
      <c r="F373" t="inlineStr">
        <is>
          <t>UPI</t>
        </is>
      </c>
      <c r="G373">
        <f>MONTH(A373)</f>
        <v/>
      </c>
      <c r="H373">
        <f>TEXT(A373,"mmm")</f>
        <v/>
      </c>
    </row>
    <row r="374">
      <c r="A374" s="6" t="n">
        <v>45727</v>
      </c>
      <c r="B374" t="inlineStr">
        <is>
          <t>Expense</t>
        </is>
      </c>
      <c r="C374" t="inlineStr">
        <is>
          <t>Miscellaneous</t>
        </is>
      </c>
      <c r="D374" t="inlineStr">
        <is>
          <t>Donation</t>
        </is>
      </c>
      <c r="E374" s="7" t="n">
        <v>355.39</v>
      </c>
      <c r="F374" t="inlineStr">
        <is>
          <t>Cash</t>
        </is>
      </c>
      <c r="G374">
        <f>MONTH(A374)</f>
        <v/>
      </c>
      <c r="H374">
        <f>TEXT(A374,"mmm")</f>
        <v/>
      </c>
    </row>
    <row r="375">
      <c r="A375" s="6" t="n">
        <v>45980</v>
      </c>
      <c r="B375" t="inlineStr">
        <is>
          <t>Expense</t>
        </is>
      </c>
      <c r="C375" t="inlineStr">
        <is>
          <t>Transportation</t>
        </is>
      </c>
      <c r="D375" t="inlineStr">
        <is>
          <t>Metro Card Recharge</t>
        </is>
      </c>
      <c r="E375" s="7" t="n">
        <v>30.37</v>
      </c>
      <c r="F375" t="inlineStr">
        <is>
          <t>Net Banking</t>
        </is>
      </c>
      <c r="G375">
        <f>MONTH(A375)</f>
        <v/>
      </c>
      <c r="H375">
        <f>TEXT(A375,"mmm")</f>
        <v/>
      </c>
    </row>
    <row r="376">
      <c r="A376" s="6" t="n">
        <v>45805</v>
      </c>
      <c r="B376" t="inlineStr">
        <is>
          <t>Expense</t>
        </is>
      </c>
      <c r="C376" t="inlineStr">
        <is>
          <t>Food &amp; Snacks</t>
        </is>
      </c>
      <c r="D376" t="inlineStr">
        <is>
          <t>Tiffin</t>
        </is>
      </c>
      <c r="E376" s="7" t="n">
        <v>70.23999999999999</v>
      </c>
      <c r="F376" t="inlineStr">
        <is>
          <t>UPI</t>
        </is>
      </c>
      <c r="G376">
        <f>MONTH(A376)</f>
        <v/>
      </c>
      <c r="H376">
        <f>TEXT(A376,"mmm")</f>
        <v/>
      </c>
    </row>
    <row r="377">
      <c r="A377" s="6" t="n">
        <v>45821</v>
      </c>
      <c r="B377" t="inlineStr">
        <is>
          <t>Expense</t>
        </is>
      </c>
      <c r="C377" t="inlineStr">
        <is>
          <t>Mobile &amp; Internet</t>
        </is>
      </c>
      <c r="D377" t="inlineStr">
        <is>
          <t>Monthly Recharge</t>
        </is>
      </c>
      <c r="E377" s="7" t="n">
        <v>286.01</v>
      </c>
      <c r="F377" t="inlineStr">
        <is>
          <t>UPI</t>
        </is>
      </c>
      <c r="G377">
        <f>MONTH(A377)</f>
        <v/>
      </c>
      <c r="H377">
        <f>TEXT(A377,"mmm")</f>
        <v/>
      </c>
    </row>
    <row r="378">
      <c r="A378" s="6" t="n">
        <v>45853</v>
      </c>
      <c r="B378" t="inlineStr">
        <is>
          <t>Expense</t>
        </is>
      </c>
      <c r="C378" t="inlineStr">
        <is>
          <t>Food &amp; Snacks</t>
        </is>
      </c>
      <c r="D378" t="inlineStr">
        <is>
          <t>Canteen</t>
        </is>
      </c>
      <c r="E378" s="7" t="n">
        <v>220.52</v>
      </c>
      <c r="F378" t="inlineStr">
        <is>
          <t>UPI</t>
        </is>
      </c>
      <c r="G378">
        <f>MONTH(A378)</f>
        <v/>
      </c>
      <c r="H378">
        <f>TEXT(A378,"mmm")</f>
        <v/>
      </c>
    </row>
    <row r="379">
      <c r="A379" s="6" t="n">
        <v>45847</v>
      </c>
      <c r="B379" t="inlineStr">
        <is>
          <t>Expense</t>
        </is>
      </c>
      <c r="C379" t="inlineStr">
        <is>
          <t>Education</t>
        </is>
      </c>
      <c r="D379" t="inlineStr">
        <is>
          <t>Printouts/Xerox</t>
        </is>
      </c>
      <c r="E379" s="7" t="n">
        <v>365.85</v>
      </c>
      <c r="F379" t="inlineStr">
        <is>
          <t>UPI</t>
        </is>
      </c>
      <c r="G379">
        <f>MONTH(A379)</f>
        <v/>
      </c>
      <c r="H379">
        <f>TEXT(A379,"mmm")</f>
        <v/>
      </c>
    </row>
    <row r="380">
      <c r="A380" s="6" t="n">
        <v>45820</v>
      </c>
      <c r="B380" t="inlineStr">
        <is>
          <t>Expense</t>
        </is>
      </c>
      <c r="C380" t="inlineStr">
        <is>
          <t>Subscriptions</t>
        </is>
      </c>
      <c r="D380" t="inlineStr">
        <is>
          <t>Spotify Premium</t>
        </is>
      </c>
      <c r="E380" s="7" t="n">
        <v>186.8</v>
      </c>
      <c r="F380" t="inlineStr">
        <is>
          <t>Net Banking</t>
        </is>
      </c>
      <c r="G380">
        <f>MONTH(A380)</f>
        <v/>
      </c>
      <c r="H380">
        <f>TEXT(A380,"mmm")</f>
        <v/>
      </c>
    </row>
    <row r="381">
      <c r="A381" s="6" t="n">
        <v>45988</v>
      </c>
      <c r="B381" t="inlineStr">
        <is>
          <t>Expense</t>
        </is>
      </c>
      <c r="C381" t="inlineStr">
        <is>
          <t>Food &amp; Snacks</t>
        </is>
      </c>
      <c r="D381" t="inlineStr">
        <is>
          <t>Canteen</t>
        </is>
      </c>
      <c r="E381" s="7" t="n">
        <v>125.19</v>
      </c>
      <c r="F381" t="inlineStr">
        <is>
          <t>Card</t>
        </is>
      </c>
      <c r="G381">
        <f>MONTH(A381)</f>
        <v/>
      </c>
      <c r="H381">
        <f>TEXT(A381,"mmm")</f>
        <v/>
      </c>
    </row>
    <row r="382">
      <c r="A382" s="6" t="n">
        <v>46002</v>
      </c>
      <c r="B382" t="inlineStr">
        <is>
          <t>Expense</t>
        </is>
      </c>
      <c r="C382" t="inlineStr">
        <is>
          <t>Transportation</t>
        </is>
      </c>
      <c r="D382" t="inlineStr">
        <is>
          <t>Cab Ride</t>
        </is>
      </c>
      <c r="E382" s="7" t="n">
        <v>84.76000000000001</v>
      </c>
      <c r="F382" t="inlineStr">
        <is>
          <t>UPI</t>
        </is>
      </c>
      <c r="G382">
        <f>MONTH(A382)</f>
        <v/>
      </c>
      <c r="H382">
        <f>TEXT(A382,"mmm")</f>
        <v/>
      </c>
    </row>
    <row r="383">
      <c r="A383" s="6" t="n">
        <v>45887</v>
      </c>
      <c r="B383" t="inlineStr">
        <is>
          <t>Expense</t>
        </is>
      </c>
      <c r="C383" t="inlineStr">
        <is>
          <t>Food &amp; Snacks</t>
        </is>
      </c>
      <c r="D383" t="inlineStr">
        <is>
          <t>Tiffin</t>
        </is>
      </c>
      <c r="E383" s="7" t="n">
        <v>228.74</v>
      </c>
      <c r="F383" t="inlineStr">
        <is>
          <t>UPI</t>
        </is>
      </c>
      <c r="G383">
        <f>MONTH(A383)</f>
        <v/>
      </c>
      <c r="H383">
        <f>TEXT(A383,"mmm")</f>
        <v/>
      </c>
    </row>
    <row r="384">
      <c r="A384" s="6" t="n">
        <v>45930</v>
      </c>
      <c r="B384" t="inlineStr">
        <is>
          <t>Expense</t>
        </is>
      </c>
      <c r="C384" t="inlineStr">
        <is>
          <t>Food &amp; Snacks</t>
        </is>
      </c>
      <c r="D384" t="inlineStr">
        <is>
          <t>Tiffin</t>
        </is>
      </c>
      <c r="E384" s="7" t="n">
        <v>181.23</v>
      </c>
      <c r="F384" t="inlineStr">
        <is>
          <t>UPI</t>
        </is>
      </c>
      <c r="G384">
        <f>MONTH(A384)</f>
        <v/>
      </c>
      <c r="H384">
        <f>TEXT(A384,"mmm")</f>
        <v/>
      </c>
    </row>
    <row r="385">
      <c r="A385" s="6" t="n">
        <v>45975</v>
      </c>
      <c r="B385" t="inlineStr">
        <is>
          <t>Expense</t>
        </is>
      </c>
      <c r="C385" t="inlineStr">
        <is>
          <t>Food &amp; Snacks</t>
        </is>
      </c>
      <c r="D385" t="inlineStr">
        <is>
          <t>Tiffin</t>
        </is>
      </c>
      <c r="E385" s="7" t="n">
        <v>92.33</v>
      </c>
      <c r="F385" t="inlineStr">
        <is>
          <t>Card</t>
        </is>
      </c>
      <c r="G385">
        <f>MONTH(A385)</f>
        <v/>
      </c>
      <c r="H385">
        <f>TEXT(A385,"mmm")</f>
        <v/>
      </c>
    </row>
    <row r="386">
      <c r="A386" s="6" t="n">
        <v>45813</v>
      </c>
      <c r="B386" t="inlineStr">
        <is>
          <t>Expense</t>
        </is>
      </c>
      <c r="C386" t="inlineStr">
        <is>
          <t>Entertainment</t>
        </is>
      </c>
      <c r="D386" t="inlineStr">
        <is>
          <t>Gaming</t>
        </is>
      </c>
      <c r="E386" s="7" t="n">
        <v>186.11</v>
      </c>
      <c r="F386" t="inlineStr">
        <is>
          <t>UPI</t>
        </is>
      </c>
      <c r="G386">
        <f>MONTH(A386)</f>
        <v/>
      </c>
      <c r="H386">
        <f>TEXT(A386,"mmm")</f>
        <v/>
      </c>
    </row>
    <row r="387">
      <c r="A387" s="6" t="n">
        <v>45682</v>
      </c>
      <c r="B387" t="inlineStr">
        <is>
          <t>Expense</t>
        </is>
      </c>
      <c r="C387" t="inlineStr">
        <is>
          <t>Personal Care</t>
        </is>
      </c>
      <c r="D387" t="inlineStr">
        <is>
          <t>Toiletries</t>
        </is>
      </c>
      <c r="E387" s="7" t="n">
        <v>60.39</v>
      </c>
      <c r="F387" t="inlineStr">
        <is>
          <t>UPI</t>
        </is>
      </c>
      <c r="G387">
        <f>MONTH(A387)</f>
        <v/>
      </c>
      <c r="H387">
        <f>TEXT(A387,"mmm")</f>
        <v/>
      </c>
    </row>
    <row r="388">
      <c r="A388" s="6" t="n">
        <v>45843</v>
      </c>
      <c r="B388" t="inlineStr">
        <is>
          <t>Expense</t>
        </is>
      </c>
      <c r="C388" t="inlineStr">
        <is>
          <t>Transportation</t>
        </is>
      </c>
      <c r="D388" t="inlineStr">
        <is>
          <t>Cab Ride</t>
        </is>
      </c>
      <c r="E388" s="7" t="n">
        <v>59.57</v>
      </c>
      <c r="F388" t="inlineStr">
        <is>
          <t>UPI</t>
        </is>
      </c>
      <c r="G388">
        <f>MONTH(A388)</f>
        <v/>
      </c>
      <c r="H388">
        <f>TEXT(A388,"mmm")</f>
        <v/>
      </c>
    </row>
    <row r="389">
      <c r="A389" s="6" t="n">
        <v>45750</v>
      </c>
      <c r="B389" t="inlineStr">
        <is>
          <t>Expense</t>
        </is>
      </c>
      <c r="C389" t="inlineStr">
        <is>
          <t>Entertainment</t>
        </is>
      </c>
      <c r="D389" t="inlineStr">
        <is>
          <t>OTT Rental</t>
        </is>
      </c>
      <c r="E389" s="7" t="n">
        <v>208.37</v>
      </c>
      <c r="F389" t="inlineStr">
        <is>
          <t>UPI</t>
        </is>
      </c>
      <c r="G389">
        <f>MONTH(A389)</f>
        <v/>
      </c>
      <c r="H389">
        <f>TEXT(A389,"mmm")</f>
        <v/>
      </c>
    </row>
    <row r="390">
      <c r="A390" s="6" t="n">
        <v>45778</v>
      </c>
      <c r="B390" t="inlineStr">
        <is>
          <t>Expense</t>
        </is>
      </c>
      <c r="C390" t="inlineStr">
        <is>
          <t>Transportation</t>
        </is>
      </c>
      <c r="D390" t="inlineStr">
        <is>
          <t>Bus Fare</t>
        </is>
      </c>
      <c r="E390" s="7" t="n">
        <v>89.02</v>
      </c>
      <c r="F390" t="inlineStr">
        <is>
          <t>Cash</t>
        </is>
      </c>
      <c r="G390">
        <f>MONTH(A390)</f>
        <v/>
      </c>
      <c r="H390">
        <f>TEXT(A390,"mmm")</f>
        <v/>
      </c>
    </row>
    <row r="391">
      <c r="A391" s="6" t="n">
        <v>45802</v>
      </c>
      <c r="B391" t="inlineStr">
        <is>
          <t>Expense</t>
        </is>
      </c>
      <c r="C391" t="inlineStr">
        <is>
          <t>Transportation</t>
        </is>
      </c>
      <c r="D391" t="inlineStr">
        <is>
          <t>Metro Card Recharge</t>
        </is>
      </c>
      <c r="E391" s="7" t="n">
        <v>30.27</v>
      </c>
      <c r="F391" t="inlineStr">
        <is>
          <t>UPI</t>
        </is>
      </c>
      <c r="G391">
        <f>MONTH(A391)</f>
        <v/>
      </c>
      <c r="H391">
        <f>TEXT(A391,"mmm")</f>
        <v/>
      </c>
    </row>
    <row r="392">
      <c r="A392" s="6" t="n">
        <v>45811</v>
      </c>
      <c r="B392" t="inlineStr">
        <is>
          <t>Expense</t>
        </is>
      </c>
      <c r="C392" t="inlineStr">
        <is>
          <t>Food &amp; Snacks</t>
        </is>
      </c>
      <c r="D392" t="inlineStr">
        <is>
          <t>Grocery</t>
        </is>
      </c>
      <c r="E392" s="7" t="n">
        <v>168.26</v>
      </c>
      <c r="F392" t="inlineStr">
        <is>
          <t>Cash</t>
        </is>
      </c>
      <c r="G392">
        <f>MONTH(A392)</f>
        <v/>
      </c>
      <c r="H392">
        <f>TEXT(A392,"mmm")</f>
        <v/>
      </c>
    </row>
    <row r="393">
      <c r="A393" s="6" t="n">
        <v>45716</v>
      </c>
      <c r="B393" t="inlineStr">
        <is>
          <t>Expense</t>
        </is>
      </c>
      <c r="C393" t="inlineStr">
        <is>
          <t>Transportation</t>
        </is>
      </c>
      <c r="D393" t="inlineStr">
        <is>
          <t>Fuel</t>
        </is>
      </c>
      <c r="E393" s="7" t="n">
        <v>62.14</v>
      </c>
      <c r="F393" t="inlineStr">
        <is>
          <t>UPI</t>
        </is>
      </c>
      <c r="G393">
        <f>MONTH(A393)</f>
        <v/>
      </c>
      <c r="H393">
        <f>TEXT(A393,"mmm")</f>
        <v/>
      </c>
    </row>
    <row r="394">
      <c r="A394" s="6" t="n">
        <v>45836</v>
      </c>
      <c r="B394" t="inlineStr">
        <is>
          <t>Expense</t>
        </is>
      </c>
      <c r="C394" t="inlineStr">
        <is>
          <t>Food &amp; Snacks</t>
        </is>
      </c>
      <c r="D394" t="inlineStr">
        <is>
          <t>Canteen</t>
        </is>
      </c>
      <c r="E394" s="7" t="n">
        <v>112.8</v>
      </c>
      <c r="F394" t="inlineStr">
        <is>
          <t>Cash</t>
        </is>
      </c>
      <c r="G394">
        <f>MONTH(A394)</f>
        <v/>
      </c>
      <c r="H394">
        <f>TEXT(A394,"mmm")</f>
        <v/>
      </c>
    </row>
    <row r="395">
      <c r="A395" s="6" t="n">
        <v>45856</v>
      </c>
      <c r="B395" t="inlineStr">
        <is>
          <t>Expense</t>
        </is>
      </c>
      <c r="C395" t="inlineStr">
        <is>
          <t>Food &amp; Snacks</t>
        </is>
      </c>
      <c r="D395" t="inlineStr">
        <is>
          <t>Restaurant</t>
        </is>
      </c>
      <c r="E395" s="7" t="n">
        <v>127.28</v>
      </c>
      <c r="F395" t="inlineStr">
        <is>
          <t>UPI</t>
        </is>
      </c>
      <c r="G395">
        <f>MONTH(A395)</f>
        <v/>
      </c>
      <c r="H395">
        <f>TEXT(A395,"mmm")</f>
        <v/>
      </c>
    </row>
    <row r="396">
      <c r="A396" s="6" t="n">
        <v>45774</v>
      </c>
      <c r="B396" t="inlineStr">
        <is>
          <t>Expense</t>
        </is>
      </c>
      <c r="C396" t="inlineStr">
        <is>
          <t>Food &amp; Snacks</t>
        </is>
      </c>
      <c r="D396" t="inlineStr">
        <is>
          <t>Tea/Snacks</t>
        </is>
      </c>
      <c r="E396" s="7" t="n">
        <v>129.89</v>
      </c>
      <c r="F396" t="inlineStr">
        <is>
          <t>Cash</t>
        </is>
      </c>
      <c r="G396">
        <f>MONTH(A396)</f>
        <v/>
      </c>
      <c r="H396">
        <f>TEXT(A396,"mmm")</f>
        <v/>
      </c>
    </row>
    <row r="397">
      <c r="A397" s="6" t="n">
        <v>45700</v>
      </c>
      <c r="B397" t="inlineStr">
        <is>
          <t>Expense</t>
        </is>
      </c>
      <c r="C397" t="inlineStr">
        <is>
          <t>Transportation</t>
        </is>
      </c>
      <c r="D397" t="inlineStr">
        <is>
          <t>Fuel</t>
        </is>
      </c>
      <c r="E397" s="7" t="n">
        <v>51.44</v>
      </c>
      <c r="F397" t="inlineStr">
        <is>
          <t>UPI</t>
        </is>
      </c>
      <c r="G397">
        <f>MONTH(A397)</f>
        <v/>
      </c>
      <c r="H397">
        <f>TEXT(A397,"mmm")</f>
        <v/>
      </c>
    </row>
    <row r="398">
      <c r="A398" s="6" t="n">
        <v>45868</v>
      </c>
      <c r="B398" t="inlineStr">
        <is>
          <t>Expense</t>
        </is>
      </c>
      <c r="C398" t="inlineStr">
        <is>
          <t>Transportation</t>
        </is>
      </c>
      <c r="D398" t="inlineStr">
        <is>
          <t>Bus Fare</t>
        </is>
      </c>
      <c r="E398" s="7" t="n">
        <v>40.57</v>
      </c>
      <c r="F398" t="inlineStr">
        <is>
          <t>Cash</t>
        </is>
      </c>
      <c r="G398">
        <f>MONTH(A398)</f>
        <v/>
      </c>
      <c r="H398">
        <f>TEXT(A398,"mmm")</f>
        <v/>
      </c>
    </row>
    <row r="399">
      <c r="A399" s="6" t="n">
        <v>45734</v>
      </c>
      <c r="B399" t="inlineStr">
        <is>
          <t>Expense</t>
        </is>
      </c>
      <c r="C399" t="inlineStr">
        <is>
          <t>Transportation</t>
        </is>
      </c>
      <c r="D399" t="inlineStr">
        <is>
          <t>Fuel</t>
        </is>
      </c>
      <c r="E399" s="7" t="n">
        <v>25.43</v>
      </c>
      <c r="F399" t="inlineStr">
        <is>
          <t>UPI</t>
        </is>
      </c>
      <c r="G399">
        <f>MONTH(A399)</f>
        <v/>
      </c>
      <c r="H399">
        <f>TEXT(A399,"mmm")</f>
        <v/>
      </c>
    </row>
    <row r="400">
      <c r="A400" s="6" t="n">
        <v>45735</v>
      </c>
      <c r="B400" t="inlineStr">
        <is>
          <t>Expense</t>
        </is>
      </c>
      <c r="C400" t="inlineStr">
        <is>
          <t>Transportation</t>
        </is>
      </c>
      <c r="D400" t="inlineStr">
        <is>
          <t>Fuel</t>
        </is>
      </c>
      <c r="E400" s="7" t="n">
        <v>57.58</v>
      </c>
      <c r="F400" t="inlineStr">
        <is>
          <t>UPI</t>
        </is>
      </c>
      <c r="G400">
        <f>MONTH(A400)</f>
        <v/>
      </c>
      <c r="H400">
        <f>TEXT(A400,"mmm")</f>
        <v/>
      </c>
    </row>
    <row r="401">
      <c r="A401" s="6" t="n">
        <v>45825</v>
      </c>
      <c r="B401" t="inlineStr">
        <is>
          <t>Expense</t>
        </is>
      </c>
      <c r="C401" t="inlineStr">
        <is>
          <t>Transportation</t>
        </is>
      </c>
      <c r="D401" t="inlineStr">
        <is>
          <t>Metro Card Recharge</t>
        </is>
      </c>
      <c r="E401" s="7" t="n">
        <v>84.02</v>
      </c>
      <c r="F401" t="inlineStr">
        <is>
          <t>UPI</t>
        </is>
      </c>
      <c r="G401">
        <f>MONTH(A401)</f>
        <v/>
      </c>
      <c r="H401">
        <f>TEXT(A401,"mmm")</f>
        <v/>
      </c>
    </row>
    <row r="402">
      <c r="A402" s="6" t="n">
        <v>45962</v>
      </c>
      <c r="B402" t="inlineStr">
        <is>
          <t>Income</t>
        </is>
      </c>
      <c r="C402" t="inlineStr">
        <is>
          <t>Pocket Money</t>
        </is>
      </c>
      <c r="D402" t="inlineStr">
        <is>
          <t>Monthly Allowance from Parents</t>
        </is>
      </c>
      <c r="E402" s="7" t="n">
        <v>8000</v>
      </c>
      <c r="F402" t="inlineStr">
        <is>
          <t>Net Banking</t>
        </is>
      </c>
      <c r="G402">
        <f>MONTH(A402)</f>
        <v/>
      </c>
      <c r="H402">
        <f>TEXT(A402,"mmm")</f>
        <v/>
      </c>
    </row>
    <row r="403">
      <c r="A403" s="6" t="n">
        <v>45961</v>
      </c>
      <c r="B403" t="inlineStr">
        <is>
          <t>Expense</t>
        </is>
      </c>
      <c r="C403" t="inlineStr">
        <is>
          <t>Food &amp; Snacks</t>
        </is>
      </c>
      <c r="D403" t="inlineStr">
        <is>
          <t>Grocery</t>
        </is>
      </c>
      <c r="E403" s="7" t="n">
        <v>52.22</v>
      </c>
      <c r="F403" t="inlineStr">
        <is>
          <t>UPI</t>
        </is>
      </c>
      <c r="G403">
        <f>MONTH(A403)</f>
        <v/>
      </c>
      <c r="H403">
        <f>TEXT(A403,"mmm")</f>
        <v/>
      </c>
    </row>
    <row r="404">
      <c r="A404" s="6" t="n">
        <v>45661</v>
      </c>
      <c r="B404" t="inlineStr">
        <is>
          <t>Expense</t>
        </is>
      </c>
      <c r="C404" t="inlineStr">
        <is>
          <t>Transportation</t>
        </is>
      </c>
      <c r="D404" t="inlineStr">
        <is>
          <t>Cab Ride</t>
        </is>
      </c>
      <c r="E404" s="7" t="n">
        <v>71.93000000000001</v>
      </c>
      <c r="F404" t="inlineStr">
        <is>
          <t>UPI</t>
        </is>
      </c>
      <c r="G404">
        <f>MONTH(A404)</f>
        <v/>
      </c>
      <c r="H404">
        <f>TEXT(A404,"mmm")</f>
        <v/>
      </c>
    </row>
    <row r="405">
      <c r="A405" s="6" t="n">
        <v>46007</v>
      </c>
      <c r="B405" t="inlineStr">
        <is>
          <t>Expense</t>
        </is>
      </c>
      <c r="C405" t="inlineStr">
        <is>
          <t>Education</t>
        </is>
      </c>
      <c r="D405" t="inlineStr">
        <is>
          <t>Lab Manual</t>
        </is>
      </c>
      <c r="E405" s="7" t="n">
        <v>110.79</v>
      </c>
      <c r="F405" t="inlineStr">
        <is>
          <t>UPI</t>
        </is>
      </c>
      <c r="G405">
        <f>MONTH(A405)</f>
        <v/>
      </c>
      <c r="H405">
        <f>TEXT(A405,"mmm")</f>
        <v/>
      </c>
    </row>
    <row r="406">
      <c r="A406" s="6" t="n">
        <v>45896</v>
      </c>
      <c r="B406" t="inlineStr">
        <is>
          <t>Expense</t>
        </is>
      </c>
      <c r="C406" t="inlineStr">
        <is>
          <t>Food &amp; Snacks</t>
        </is>
      </c>
      <c r="D406" t="inlineStr">
        <is>
          <t>Restaurant</t>
        </is>
      </c>
      <c r="E406" s="7" t="n">
        <v>239.43</v>
      </c>
      <c r="F406" t="inlineStr">
        <is>
          <t>Card</t>
        </is>
      </c>
      <c r="G406">
        <f>MONTH(A406)</f>
        <v/>
      </c>
      <c r="H406">
        <f>TEXT(A406,"mmm")</f>
        <v/>
      </c>
    </row>
    <row r="407">
      <c r="A407" s="6" t="n">
        <v>45785</v>
      </c>
      <c r="B407" t="inlineStr">
        <is>
          <t>Expense</t>
        </is>
      </c>
      <c r="C407" t="inlineStr">
        <is>
          <t>Savings</t>
        </is>
      </c>
      <c r="D407" t="inlineStr">
        <is>
          <t>Transfer to Savings Account</t>
        </is>
      </c>
      <c r="E407" s="7" t="n">
        <v>697.27</v>
      </c>
      <c r="F407" t="inlineStr">
        <is>
          <t>Card</t>
        </is>
      </c>
      <c r="G407">
        <f>MONTH(A407)</f>
        <v/>
      </c>
      <c r="H407">
        <f>TEXT(A407,"mmm")</f>
        <v/>
      </c>
    </row>
    <row r="408">
      <c r="A408" s="6" t="n">
        <v>45858</v>
      </c>
      <c r="B408" t="inlineStr">
        <is>
          <t>Expense</t>
        </is>
      </c>
      <c r="C408" t="inlineStr">
        <is>
          <t>Food &amp; Snacks</t>
        </is>
      </c>
      <c r="D408" t="inlineStr">
        <is>
          <t>Tea/Snacks</t>
        </is>
      </c>
      <c r="E408" s="7" t="n">
        <v>103.63</v>
      </c>
      <c r="F408" t="inlineStr">
        <is>
          <t>Cash</t>
        </is>
      </c>
      <c r="G408">
        <f>MONTH(A408)</f>
        <v/>
      </c>
      <c r="H408">
        <f>TEXT(A408,"mmm")</f>
        <v/>
      </c>
    </row>
    <row r="409">
      <c r="A409" s="6" t="n">
        <v>45795</v>
      </c>
      <c r="B409" t="inlineStr">
        <is>
          <t>Expense</t>
        </is>
      </c>
      <c r="C409" t="inlineStr">
        <is>
          <t>Food &amp; Snacks</t>
        </is>
      </c>
      <c r="D409" t="inlineStr">
        <is>
          <t>Restaurant</t>
        </is>
      </c>
      <c r="E409" s="7" t="n">
        <v>233.4</v>
      </c>
      <c r="F409" t="inlineStr">
        <is>
          <t>UPI</t>
        </is>
      </c>
      <c r="G409">
        <f>MONTH(A409)</f>
        <v/>
      </c>
      <c r="H409">
        <f>TEXT(A409,"mmm")</f>
        <v/>
      </c>
    </row>
    <row r="410">
      <c r="A410" s="6" t="n">
        <v>45941</v>
      </c>
      <c r="B410" t="inlineStr">
        <is>
          <t>Expense</t>
        </is>
      </c>
      <c r="C410" t="inlineStr">
        <is>
          <t>Transportation</t>
        </is>
      </c>
      <c r="D410" t="inlineStr">
        <is>
          <t>Auto/Rickshaw</t>
        </is>
      </c>
      <c r="E410" s="7" t="n">
        <v>91.56</v>
      </c>
      <c r="F410" t="inlineStr">
        <is>
          <t>Cash</t>
        </is>
      </c>
      <c r="G410">
        <f>MONTH(A410)</f>
        <v/>
      </c>
      <c r="H410">
        <f>TEXT(A410,"mmm")</f>
        <v/>
      </c>
    </row>
    <row r="411">
      <c r="A411" s="6" t="n">
        <v>45925</v>
      </c>
      <c r="B411" t="inlineStr">
        <is>
          <t>Expense</t>
        </is>
      </c>
      <c r="C411" t="inlineStr">
        <is>
          <t>Transportation</t>
        </is>
      </c>
      <c r="D411" t="inlineStr">
        <is>
          <t>Metro Card Recharge</t>
        </is>
      </c>
      <c r="E411" s="7" t="n">
        <v>51.97</v>
      </c>
      <c r="F411" t="inlineStr">
        <is>
          <t>UPI</t>
        </is>
      </c>
      <c r="G411">
        <f>MONTH(A411)</f>
        <v/>
      </c>
      <c r="H411">
        <f>TEXT(A411,"mmm")</f>
        <v/>
      </c>
    </row>
    <row r="412">
      <c r="A412" s="6" t="n">
        <v>45700</v>
      </c>
      <c r="B412" t="inlineStr">
        <is>
          <t>Expense</t>
        </is>
      </c>
      <c r="C412" t="inlineStr">
        <is>
          <t>Food &amp; Snacks</t>
        </is>
      </c>
      <c r="D412" t="inlineStr">
        <is>
          <t>Mess Bill</t>
        </is>
      </c>
      <c r="E412" s="7" t="n">
        <v>93.04000000000001</v>
      </c>
      <c r="F412" t="inlineStr">
        <is>
          <t>Cash</t>
        </is>
      </c>
      <c r="G412">
        <f>MONTH(A412)</f>
        <v/>
      </c>
      <c r="H412">
        <f>TEXT(A412,"mmm")</f>
        <v/>
      </c>
    </row>
    <row r="413">
      <c r="A413" s="6" t="n">
        <v>45771</v>
      </c>
      <c r="B413" t="inlineStr">
        <is>
          <t>Expense</t>
        </is>
      </c>
      <c r="C413" t="inlineStr">
        <is>
          <t>Transportation</t>
        </is>
      </c>
      <c r="D413" t="inlineStr">
        <is>
          <t>Cab Ride</t>
        </is>
      </c>
      <c r="E413" s="7" t="n">
        <v>96.04000000000001</v>
      </c>
      <c r="F413" t="inlineStr">
        <is>
          <t>Card</t>
        </is>
      </c>
      <c r="G413">
        <f>MONTH(A413)</f>
        <v/>
      </c>
      <c r="H413">
        <f>TEXT(A413,"mmm")</f>
        <v/>
      </c>
    </row>
    <row r="414">
      <c r="A414" s="6" t="n">
        <v>45686</v>
      </c>
      <c r="B414" t="inlineStr">
        <is>
          <t>Expense</t>
        </is>
      </c>
      <c r="C414" t="inlineStr">
        <is>
          <t>Food &amp; Snacks</t>
        </is>
      </c>
      <c r="D414" t="inlineStr">
        <is>
          <t>Canteen</t>
        </is>
      </c>
      <c r="E414" s="7" t="n">
        <v>145.48</v>
      </c>
      <c r="F414" t="inlineStr">
        <is>
          <t>UPI</t>
        </is>
      </c>
      <c r="G414">
        <f>MONTH(A414)</f>
        <v/>
      </c>
      <c r="H414">
        <f>TEXT(A414,"mmm")</f>
        <v/>
      </c>
    </row>
    <row r="415">
      <c r="A415" s="6" t="n">
        <v>45964</v>
      </c>
      <c r="B415" t="inlineStr">
        <is>
          <t>Expense</t>
        </is>
      </c>
      <c r="C415" t="inlineStr">
        <is>
          <t>Transportation</t>
        </is>
      </c>
      <c r="D415" t="inlineStr">
        <is>
          <t>Cab Ride</t>
        </is>
      </c>
      <c r="E415" s="7" t="n">
        <v>88.76000000000001</v>
      </c>
      <c r="F415" t="inlineStr">
        <is>
          <t>Card</t>
        </is>
      </c>
      <c r="G415">
        <f>MONTH(A415)</f>
        <v/>
      </c>
      <c r="H415">
        <f>TEXT(A415,"mmm")</f>
        <v/>
      </c>
    </row>
    <row r="416">
      <c r="A416" s="6" t="n">
        <v>45817</v>
      </c>
      <c r="B416" t="inlineStr">
        <is>
          <t>Expense</t>
        </is>
      </c>
      <c r="C416" t="inlineStr">
        <is>
          <t>Personal Care</t>
        </is>
      </c>
      <c r="D416" t="inlineStr">
        <is>
          <t>Toiletries</t>
        </is>
      </c>
      <c r="E416" s="7" t="n">
        <v>255.35</v>
      </c>
      <c r="F416" t="inlineStr">
        <is>
          <t>Cash</t>
        </is>
      </c>
      <c r="G416">
        <f>MONTH(A416)</f>
        <v/>
      </c>
      <c r="H416">
        <f>TEXT(A416,"mmm")</f>
        <v/>
      </c>
    </row>
    <row r="417">
      <c r="A417" s="6" t="n">
        <v>45705</v>
      </c>
      <c r="B417" t="inlineStr">
        <is>
          <t>Expense</t>
        </is>
      </c>
      <c r="C417" t="inlineStr">
        <is>
          <t>Transportation</t>
        </is>
      </c>
      <c r="D417" t="inlineStr">
        <is>
          <t>Metro Card Recharge</t>
        </is>
      </c>
      <c r="E417" s="7" t="n">
        <v>75.12</v>
      </c>
      <c r="F417" t="inlineStr">
        <is>
          <t>UPI</t>
        </is>
      </c>
      <c r="G417">
        <f>MONTH(A417)</f>
        <v/>
      </c>
      <c r="H417">
        <f>TEXT(A417,"mmm")</f>
        <v/>
      </c>
    </row>
    <row r="418">
      <c r="A418" s="6" t="n">
        <v>45821</v>
      </c>
      <c r="B418" t="inlineStr">
        <is>
          <t>Expense</t>
        </is>
      </c>
      <c r="C418" t="inlineStr">
        <is>
          <t>Transportation</t>
        </is>
      </c>
      <c r="D418" t="inlineStr">
        <is>
          <t>Bus Fare</t>
        </is>
      </c>
      <c r="E418" s="7" t="n">
        <v>37.31</v>
      </c>
      <c r="F418" t="inlineStr">
        <is>
          <t>Cash</t>
        </is>
      </c>
      <c r="G418">
        <f>MONTH(A418)</f>
        <v/>
      </c>
      <c r="H418">
        <f>TEXT(A418,"mmm")</f>
        <v/>
      </c>
    </row>
    <row r="419">
      <c r="A419" s="6" t="n">
        <v>45778</v>
      </c>
      <c r="B419" t="inlineStr">
        <is>
          <t>Income</t>
        </is>
      </c>
      <c r="C419" t="inlineStr">
        <is>
          <t>Pocket Money</t>
        </is>
      </c>
      <c r="D419" t="inlineStr">
        <is>
          <t>Monthly Allowance from Parents</t>
        </is>
      </c>
      <c r="E419" s="7" t="n">
        <v>8000</v>
      </c>
      <c r="F419" t="inlineStr">
        <is>
          <t>Net Banking</t>
        </is>
      </c>
      <c r="G419">
        <f>MONTH(A419)</f>
        <v/>
      </c>
      <c r="H419">
        <f>TEXT(A419,"mmm")</f>
        <v/>
      </c>
    </row>
    <row r="420">
      <c r="A420" s="6" t="n">
        <v>45679</v>
      </c>
      <c r="B420" t="inlineStr">
        <is>
          <t>Expense</t>
        </is>
      </c>
      <c r="C420" t="inlineStr">
        <is>
          <t>Food &amp; Snacks</t>
        </is>
      </c>
      <c r="D420" t="inlineStr">
        <is>
          <t>Tiffin</t>
        </is>
      </c>
      <c r="E420" s="7" t="n">
        <v>66.7</v>
      </c>
      <c r="F420" t="inlineStr">
        <is>
          <t>UPI</t>
        </is>
      </c>
      <c r="G420">
        <f>MONTH(A420)</f>
        <v/>
      </c>
      <c r="H420">
        <f>TEXT(A420,"mmm")</f>
        <v/>
      </c>
    </row>
    <row r="421">
      <c r="A421" s="6" t="n">
        <v>45807</v>
      </c>
      <c r="B421" t="inlineStr">
        <is>
          <t>Expense</t>
        </is>
      </c>
      <c r="C421" t="inlineStr">
        <is>
          <t>Food &amp; Snacks</t>
        </is>
      </c>
      <c r="D421" t="inlineStr">
        <is>
          <t>Tiffin</t>
        </is>
      </c>
      <c r="E421" s="7" t="n">
        <v>147.08</v>
      </c>
      <c r="F421" t="inlineStr">
        <is>
          <t>UPI</t>
        </is>
      </c>
      <c r="G421">
        <f>MONTH(A421)</f>
        <v/>
      </c>
      <c r="H421">
        <f>TEXT(A421,"mmm")</f>
        <v/>
      </c>
    </row>
    <row r="422">
      <c r="A422" s="6" t="n">
        <v>45658</v>
      </c>
      <c r="B422" t="inlineStr">
        <is>
          <t>Income</t>
        </is>
      </c>
      <c r="C422" t="inlineStr">
        <is>
          <t>Pocket Money</t>
        </is>
      </c>
      <c r="D422" t="inlineStr">
        <is>
          <t>Monthly Allowance from Parents</t>
        </is>
      </c>
      <c r="E422" s="7" t="n">
        <v>8000</v>
      </c>
      <c r="F422" t="inlineStr">
        <is>
          <t>Net Banking</t>
        </is>
      </c>
      <c r="G422">
        <f>MONTH(A422)</f>
        <v/>
      </c>
      <c r="H422">
        <f>TEXT(A422,"mmm")</f>
        <v/>
      </c>
    </row>
    <row r="423">
      <c r="A423" s="6" t="n">
        <v>45975</v>
      </c>
      <c r="B423" t="inlineStr">
        <is>
          <t>Expense</t>
        </is>
      </c>
      <c r="C423" t="inlineStr">
        <is>
          <t>Savings</t>
        </is>
      </c>
      <c r="D423" t="inlineStr">
        <is>
          <t>Transfer to Savings Account</t>
        </is>
      </c>
      <c r="E423" s="7" t="n">
        <v>1353.45</v>
      </c>
      <c r="F423" t="inlineStr">
        <is>
          <t>Cash</t>
        </is>
      </c>
      <c r="G423">
        <f>MONTH(A423)</f>
        <v/>
      </c>
      <c r="H423">
        <f>TEXT(A423,"mmm")</f>
        <v/>
      </c>
    </row>
    <row r="424">
      <c r="A424" s="6" t="n">
        <v>45702</v>
      </c>
      <c r="B424" t="inlineStr">
        <is>
          <t>Expense</t>
        </is>
      </c>
      <c r="C424" t="inlineStr">
        <is>
          <t>Food &amp; Snacks</t>
        </is>
      </c>
      <c r="D424" t="inlineStr">
        <is>
          <t>Tiffin</t>
        </is>
      </c>
      <c r="E424" s="7" t="n">
        <v>96.09</v>
      </c>
      <c r="F424" t="inlineStr">
        <is>
          <t>Card</t>
        </is>
      </c>
      <c r="G424">
        <f>MONTH(A424)</f>
        <v/>
      </c>
      <c r="H424">
        <f>TEXT(A424,"mmm")</f>
        <v/>
      </c>
    </row>
    <row r="425">
      <c r="A425" s="6" t="n">
        <v>45762</v>
      </c>
      <c r="B425" t="inlineStr">
        <is>
          <t>Expense</t>
        </is>
      </c>
      <c r="C425" t="inlineStr">
        <is>
          <t>Food &amp; Snacks</t>
        </is>
      </c>
      <c r="D425" t="inlineStr">
        <is>
          <t>Tiffin</t>
        </is>
      </c>
      <c r="E425" s="7" t="n">
        <v>243.92</v>
      </c>
      <c r="F425" t="inlineStr">
        <is>
          <t>Cash</t>
        </is>
      </c>
      <c r="G425">
        <f>MONTH(A425)</f>
        <v/>
      </c>
      <c r="H425">
        <f>TEXT(A425,"mmm")</f>
        <v/>
      </c>
    </row>
    <row r="426">
      <c r="A426" s="6" t="n">
        <v>45901</v>
      </c>
      <c r="B426" t="inlineStr">
        <is>
          <t>Income</t>
        </is>
      </c>
      <c r="C426" t="inlineStr">
        <is>
          <t>Pocket Money</t>
        </is>
      </c>
      <c r="D426" t="inlineStr">
        <is>
          <t>Monthly Allowance from Parents</t>
        </is>
      </c>
      <c r="E426" s="7" t="n">
        <v>8000</v>
      </c>
      <c r="F426" t="inlineStr">
        <is>
          <t>Net Banking</t>
        </is>
      </c>
      <c r="G426">
        <f>MONTH(A426)</f>
        <v/>
      </c>
      <c r="H426">
        <f>TEXT(A426,"mmm")</f>
        <v/>
      </c>
    </row>
    <row r="427">
      <c r="A427" s="6" t="n">
        <v>45696</v>
      </c>
      <c r="B427" t="inlineStr">
        <is>
          <t>Expense</t>
        </is>
      </c>
      <c r="C427" t="inlineStr">
        <is>
          <t>Clothing</t>
        </is>
      </c>
      <c r="D427" t="inlineStr">
        <is>
          <t>Footwear</t>
        </is>
      </c>
      <c r="E427" s="7" t="n">
        <v>1055.46</v>
      </c>
      <c r="F427" t="inlineStr">
        <is>
          <t>UPI</t>
        </is>
      </c>
      <c r="G427">
        <f>MONTH(A427)</f>
        <v/>
      </c>
      <c r="H427">
        <f>TEXT(A427,"mmm")</f>
        <v/>
      </c>
    </row>
    <row r="428">
      <c r="A428" s="6" t="n">
        <v>45792</v>
      </c>
      <c r="B428" t="inlineStr">
        <is>
          <t>Expense</t>
        </is>
      </c>
      <c r="C428" t="inlineStr">
        <is>
          <t>Education</t>
        </is>
      </c>
      <c r="D428" t="inlineStr">
        <is>
          <t>Printouts/Xerox</t>
        </is>
      </c>
      <c r="E428" s="7" t="n">
        <v>747.41</v>
      </c>
      <c r="F428" t="inlineStr">
        <is>
          <t>UPI</t>
        </is>
      </c>
      <c r="G428">
        <f>MONTH(A428)</f>
        <v/>
      </c>
      <c r="H428">
        <f>TEXT(A428,"mmm")</f>
        <v/>
      </c>
    </row>
    <row r="429">
      <c r="A429" s="6" t="n">
        <v>45917</v>
      </c>
      <c r="B429" t="inlineStr">
        <is>
          <t>Expense</t>
        </is>
      </c>
      <c r="C429" t="inlineStr">
        <is>
          <t>Personal Care</t>
        </is>
      </c>
      <c r="D429" t="inlineStr">
        <is>
          <t>Haircut</t>
        </is>
      </c>
      <c r="E429" s="7" t="n">
        <v>67.02</v>
      </c>
      <c r="F429" t="inlineStr">
        <is>
          <t>Cash</t>
        </is>
      </c>
      <c r="G429">
        <f>MONTH(A429)</f>
        <v/>
      </c>
      <c r="H429">
        <f>TEXT(A429,"mmm")</f>
        <v/>
      </c>
    </row>
    <row r="430">
      <c r="A430" s="6" t="n">
        <v>45916</v>
      </c>
      <c r="B430" t="inlineStr">
        <is>
          <t>Expense</t>
        </is>
      </c>
      <c r="C430" t="inlineStr">
        <is>
          <t>Food &amp; Snacks</t>
        </is>
      </c>
      <c r="D430" t="inlineStr">
        <is>
          <t>Restaurant</t>
        </is>
      </c>
      <c r="E430" s="7" t="n">
        <v>152.42</v>
      </c>
      <c r="F430" t="inlineStr">
        <is>
          <t>UPI</t>
        </is>
      </c>
      <c r="G430">
        <f>MONTH(A430)</f>
        <v/>
      </c>
      <c r="H430">
        <f>TEXT(A430,"mmm")</f>
        <v/>
      </c>
    </row>
    <row r="431">
      <c r="A431" s="6" t="n">
        <v>45733</v>
      </c>
      <c r="B431" t="inlineStr">
        <is>
          <t>Expense</t>
        </is>
      </c>
      <c r="C431" t="inlineStr">
        <is>
          <t>Food &amp; Snacks</t>
        </is>
      </c>
      <c r="D431" t="inlineStr">
        <is>
          <t>Canteen</t>
        </is>
      </c>
      <c r="E431" s="7" t="n">
        <v>169.65</v>
      </c>
      <c r="F431" t="inlineStr">
        <is>
          <t>Net Banking</t>
        </is>
      </c>
      <c r="G431">
        <f>MONTH(A431)</f>
        <v/>
      </c>
      <c r="H431">
        <f>TEXT(A431,"mmm")</f>
        <v/>
      </c>
    </row>
    <row r="432">
      <c r="A432" s="6" t="n">
        <v>45747</v>
      </c>
      <c r="B432" t="inlineStr">
        <is>
          <t>Expense</t>
        </is>
      </c>
      <c r="C432" t="inlineStr">
        <is>
          <t>Entertainment</t>
        </is>
      </c>
      <c r="D432" t="inlineStr">
        <is>
          <t>Movie Ticket</t>
        </is>
      </c>
      <c r="E432" s="7" t="n">
        <v>151.78</v>
      </c>
      <c r="F432" t="inlineStr">
        <is>
          <t>UPI</t>
        </is>
      </c>
      <c r="G432">
        <f>MONTH(A432)</f>
        <v/>
      </c>
      <c r="H432">
        <f>TEXT(A432,"mmm")</f>
        <v/>
      </c>
    </row>
    <row r="433">
      <c r="A433" s="6" t="n">
        <v>45953</v>
      </c>
      <c r="B433" t="inlineStr">
        <is>
          <t>Expense</t>
        </is>
      </c>
      <c r="C433" t="inlineStr">
        <is>
          <t>Personal Care</t>
        </is>
      </c>
      <c r="D433" t="inlineStr">
        <is>
          <t>Skincare</t>
        </is>
      </c>
      <c r="E433" s="7" t="n">
        <v>66.2</v>
      </c>
      <c r="F433" t="inlineStr">
        <is>
          <t>Cash</t>
        </is>
      </c>
      <c r="G433">
        <f>MONTH(A433)</f>
        <v/>
      </c>
      <c r="H433">
        <f>TEXT(A433,"mmm")</f>
        <v/>
      </c>
    </row>
    <row r="434">
      <c r="A434" s="6" t="n">
        <v>45867</v>
      </c>
      <c r="B434" t="inlineStr">
        <is>
          <t>Expense</t>
        </is>
      </c>
      <c r="C434" t="inlineStr">
        <is>
          <t>Personal Care</t>
        </is>
      </c>
      <c r="D434" t="inlineStr">
        <is>
          <t>Toiletries</t>
        </is>
      </c>
      <c r="E434" s="7" t="n">
        <v>58.16</v>
      </c>
      <c r="F434" t="inlineStr">
        <is>
          <t>UPI</t>
        </is>
      </c>
      <c r="G434">
        <f>MONTH(A434)</f>
        <v/>
      </c>
      <c r="H434">
        <f>TEXT(A434,"mmm")</f>
        <v/>
      </c>
    </row>
    <row r="435">
      <c r="A435" s="6" t="n">
        <v>45706</v>
      </c>
      <c r="B435" t="inlineStr">
        <is>
          <t>Expense</t>
        </is>
      </c>
      <c r="C435" t="inlineStr">
        <is>
          <t>Transportation</t>
        </is>
      </c>
      <c r="D435" t="inlineStr">
        <is>
          <t>Metro Card Recharge</t>
        </is>
      </c>
      <c r="E435" s="7" t="n">
        <v>47.21</v>
      </c>
      <c r="F435" t="inlineStr">
        <is>
          <t>UPI</t>
        </is>
      </c>
      <c r="G435">
        <f>MONTH(A435)</f>
        <v/>
      </c>
      <c r="H435">
        <f>TEXT(A435,"mmm")</f>
        <v/>
      </c>
    </row>
    <row r="436">
      <c r="A436" s="6" t="n">
        <v>45975</v>
      </c>
      <c r="B436" t="inlineStr">
        <is>
          <t>Expense</t>
        </is>
      </c>
      <c r="C436" t="inlineStr">
        <is>
          <t>Entertainment</t>
        </is>
      </c>
      <c r="D436" t="inlineStr">
        <is>
          <t>Outing with Friends</t>
        </is>
      </c>
      <c r="E436" s="7" t="n">
        <v>173.18</v>
      </c>
      <c r="F436" t="inlineStr">
        <is>
          <t>Net Banking</t>
        </is>
      </c>
      <c r="G436">
        <f>MONTH(A436)</f>
        <v/>
      </c>
      <c r="H436">
        <f>TEXT(A436,"mmm")</f>
        <v/>
      </c>
    </row>
    <row r="437">
      <c r="A437" s="6" t="n">
        <v>45910</v>
      </c>
      <c r="B437" t="inlineStr">
        <is>
          <t>Expense</t>
        </is>
      </c>
      <c r="C437" t="inlineStr">
        <is>
          <t>Transportation</t>
        </is>
      </c>
      <c r="D437" t="inlineStr">
        <is>
          <t>Bus Fare</t>
        </is>
      </c>
      <c r="E437" s="7" t="n">
        <v>79.41</v>
      </c>
      <c r="F437" t="inlineStr">
        <is>
          <t>UPI</t>
        </is>
      </c>
      <c r="G437">
        <f>MONTH(A437)</f>
        <v/>
      </c>
      <c r="H437">
        <f>TEXT(A437,"mmm")</f>
        <v/>
      </c>
    </row>
    <row r="438">
      <c r="A438" s="6" t="n">
        <v>45727</v>
      </c>
      <c r="B438" t="inlineStr">
        <is>
          <t>Expense</t>
        </is>
      </c>
      <c r="C438" t="inlineStr">
        <is>
          <t>Transportation</t>
        </is>
      </c>
      <c r="D438" t="inlineStr">
        <is>
          <t>Fuel</t>
        </is>
      </c>
      <c r="E438" s="7" t="n">
        <v>75.11</v>
      </c>
      <c r="F438" t="inlineStr">
        <is>
          <t>UPI</t>
        </is>
      </c>
      <c r="G438">
        <f>MONTH(A438)</f>
        <v/>
      </c>
      <c r="H438">
        <f>TEXT(A438,"mmm")</f>
        <v/>
      </c>
    </row>
    <row r="439">
      <c r="A439" s="6" t="n">
        <v>45953</v>
      </c>
      <c r="B439" t="inlineStr">
        <is>
          <t>Expense</t>
        </is>
      </c>
      <c r="C439" t="inlineStr">
        <is>
          <t>Food &amp; Snacks</t>
        </is>
      </c>
      <c r="D439" t="inlineStr">
        <is>
          <t>Grocery</t>
        </is>
      </c>
      <c r="E439" s="7" t="n">
        <v>189.16</v>
      </c>
      <c r="F439" t="inlineStr">
        <is>
          <t>Net Banking</t>
        </is>
      </c>
      <c r="G439">
        <f>MONTH(A439)</f>
        <v/>
      </c>
      <c r="H439">
        <f>TEXT(A439,"mmm")</f>
        <v/>
      </c>
    </row>
    <row r="440">
      <c r="A440" s="6" t="n">
        <v>45973</v>
      </c>
      <c r="B440" t="inlineStr">
        <is>
          <t>Expense</t>
        </is>
      </c>
      <c r="C440" t="inlineStr">
        <is>
          <t>Food &amp; Snacks</t>
        </is>
      </c>
      <c r="D440" t="inlineStr">
        <is>
          <t>Restaurant</t>
        </is>
      </c>
      <c r="E440" s="7" t="n">
        <v>228.55</v>
      </c>
      <c r="F440" t="inlineStr">
        <is>
          <t>Cash</t>
        </is>
      </c>
      <c r="G440">
        <f>MONTH(A440)</f>
        <v/>
      </c>
      <c r="H440">
        <f>TEXT(A440,"mmm")</f>
        <v/>
      </c>
    </row>
    <row r="441">
      <c r="A441" s="6" t="n">
        <v>45819</v>
      </c>
      <c r="B441" t="inlineStr">
        <is>
          <t>Expense</t>
        </is>
      </c>
      <c r="C441" t="inlineStr">
        <is>
          <t>Transportation</t>
        </is>
      </c>
      <c r="D441" t="inlineStr">
        <is>
          <t>Metro Card Recharge</t>
        </is>
      </c>
      <c r="E441" s="7" t="n">
        <v>40.29</v>
      </c>
      <c r="F441" t="inlineStr">
        <is>
          <t>Card</t>
        </is>
      </c>
      <c r="G441">
        <f>MONTH(A441)</f>
        <v/>
      </c>
      <c r="H441">
        <f>TEXT(A441,"mmm")</f>
        <v/>
      </c>
    </row>
    <row r="442">
      <c r="A442" s="6" t="n">
        <v>46019</v>
      </c>
      <c r="B442" t="inlineStr">
        <is>
          <t>Expense</t>
        </is>
      </c>
      <c r="C442" t="inlineStr">
        <is>
          <t>Entertainment</t>
        </is>
      </c>
      <c r="D442" t="inlineStr">
        <is>
          <t>OTT Rental</t>
        </is>
      </c>
      <c r="E442" s="7" t="n">
        <v>112.82</v>
      </c>
      <c r="F442" t="inlineStr">
        <is>
          <t>Card</t>
        </is>
      </c>
      <c r="G442">
        <f>MONTH(A442)</f>
        <v/>
      </c>
      <c r="H442">
        <f>TEXT(A442,"mmm")</f>
        <v/>
      </c>
    </row>
    <row r="443">
      <c r="A443" s="6" t="n">
        <v>45800</v>
      </c>
      <c r="B443" t="inlineStr">
        <is>
          <t>Expense</t>
        </is>
      </c>
      <c r="C443" t="inlineStr">
        <is>
          <t>Food &amp; Snacks</t>
        </is>
      </c>
      <c r="D443" t="inlineStr">
        <is>
          <t>Tiffin</t>
        </is>
      </c>
      <c r="E443" s="7" t="n">
        <v>222.74</v>
      </c>
      <c r="F443" t="inlineStr">
        <is>
          <t>UPI</t>
        </is>
      </c>
      <c r="G443">
        <f>MONTH(A443)</f>
        <v/>
      </c>
      <c r="H443">
        <f>TEXT(A443,"mmm")</f>
        <v/>
      </c>
    </row>
    <row r="444">
      <c r="A444" s="6" t="n">
        <v>45759</v>
      </c>
      <c r="B444" t="inlineStr">
        <is>
          <t>Expense</t>
        </is>
      </c>
      <c r="C444" t="inlineStr">
        <is>
          <t>Food &amp; Snacks</t>
        </is>
      </c>
      <c r="D444" t="inlineStr">
        <is>
          <t>Restaurant</t>
        </is>
      </c>
      <c r="E444" s="7" t="n">
        <v>146.4</v>
      </c>
      <c r="F444" t="inlineStr">
        <is>
          <t>Cash</t>
        </is>
      </c>
      <c r="G444">
        <f>MONTH(A444)</f>
        <v/>
      </c>
      <c r="H444">
        <f>TEXT(A444,"mmm")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5" t="inlineStr">
        <is>
          <t>Category</t>
        </is>
      </c>
      <c r="B1" s="5" t="inlineStr">
        <is>
          <t>Monthly Budget</t>
        </is>
      </c>
      <c r="C1" s="5" t="inlineStr">
        <is>
          <t>Annual Budget</t>
        </is>
      </c>
    </row>
    <row r="2">
      <c r="A2" t="inlineStr">
        <is>
          <t>Food &amp; Snacks</t>
        </is>
      </c>
      <c r="B2" s="8" t="n">
        <v>2500</v>
      </c>
      <c r="C2" s="7">
        <f>B2*12</f>
        <v/>
      </c>
    </row>
    <row r="3">
      <c r="A3" t="inlineStr">
        <is>
          <t>Transportation</t>
        </is>
      </c>
      <c r="B3" s="8" t="n">
        <v>600</v>
      </c>
      <c r="C3" s="7">
        <f>B3*12</f>
        <v/>
      </c>
    </row>
    <row r="4">
      <c r="A4" t="inlineStr">
        <is>
          <t>Mobile &amp; Internet</t>
        </is>
      </c>
      <c r="B4" s="8" t="n">
        <v>350</v>
      </c>
      <c r="C4" s="7">
        <f>B4*12</f>
        <v/>
      </c>
    </row>
    <row r="5">
      <c r="A5" t="inlineStr">
        <is>
          <t>Education</t>
        </is>
      </c>
      <c r="B5" s="8" t="n">
        <v>400</v>
      </c>
      <c r="C5" s="7">
        <f>B5*12</f>
        <v/>
      </c>
    </row>
    <row r="6">
      <c r="A6" t="inlineStr">
        <is>
          <t>Entertainment</t>
        </is>
      </c>
      <c r="B6" s="8" t="n">
        <v>500</v>
      </c>
      <c r="C6" s="7">
        <f>B6*12</f>
        <v/>
      </c>
    </row>
    <row r="7">
      <c r="A7" t="inlineStr">
        <is>
          <t>Subscriptions</t>
        </is>
      </c>
      <c r="B7" s="8" t="n">
        <v>250</v>
      </c>
      <c r="C7" s="7">
        <f>B7*12</f>
        <v/>
      </c>
    </row>
    <row r="8">
      <c r="A8" t="inlineStr">
        <is>
          <t>Personal Care</t>
        </is>
      </c>
      <c r="B8" s="8" t="n">
        <v>200</v>
      </c>
      <c r="C8" s="7">
        <f>B8*12</f>
        <v/>
      </c>
    </row>
    <row r="9">
      <c r="A9" t="inlineStr">
        <is>
          <t>Clothing</t>
        </is>
      </c>
      <c r="B9" s="8" t="n">
        <v>400</v>
      </c>
      <c r="C9" s="7">
        <f>B9*12</f>
        <v/>
      </c>
    </row>
    <row r="10">
      <c r="A10" t="inlineStr">
        <is>
          <t>Savings</t>
        </is>
      </c>
      <c r="B10" s="8" t="n">
        <v>1500</v>
      </c>
      <c r="C10" s="7">
        <f>B10*12</f>
        <v/>
      </c>
    </row>
    <row r="11">
      <c r="A11" t="inlineStr">
        <is>
          <t>Miscellaneous</t>
        </is>
      </c>
      <c r="B11" s="8" t="n">
        <v>200</v>
      </c>
      <c r="C11" s="7">
        <f>B11*12</f>
        <v/>
      </c>
    </row>
    <row r="12">
      <c r="A12" s="9" t="inlineStr">
        <is>
          <t>Total</t>
        </is>
      </c>
      <c r="B12" s="10">
        <f>SUM(B2:B11)</f>
        <v/>
      </c>
      <c r="C12" s="10">
        <f>SUM(C2:C11)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5" t="inlineStr">
        <is>
          <t>Month</t>
        </is>
      </c>
      <c r="B1" s="5" t="inlineStr">
        <is>
          <t>Month #</t>
        </is>
      </c>
      <c r="C1" s="5" t="inlineStr">
        <is>
          <t>Income</t>
        </is>
      </c>
      <c r="D1" s="5" t="inlineStr">
        <is>
          <t>Expense</t>
        </is>
      </c>
      <c r="E1" s="5" t="inlineStr">
        <is>
          <t>Net Savings</t>
        </is>
      </c>
      <c r="F1" s="5" t="inlineStr">
        <is>
          <t>Savings Rate</t>
        </is>
      </c>
    </row>
    <row r="2">
      <c r="A2" t="inlineStr">
        <is>
          <t>Jan</t>
        </is>
      </c>
      <c r="B2" t="n">
        <v>1</v>
      </c>
      <c r="C2" s="7">
        <f>SUMIFS(Transactions!E2:E444,Transactions!B2:B444,"Income",Transactions!G2:G444,B2)</f>
        <v/>
      </c>
      <c r="D2" s="7">
        <f>SUMIFS(Transactions!E2:E444,Transactions!B2:B444,"Expense",Transactions!G2:G444,B2)</f>
        <v/>
      </c>
      <c r="E2" s="7">
        <f>C2-D2</f>
        <v/>
      </c>
      <c r="F2" s="11">
        <f>IF(C2=0,0,E2/C2)</f>
        <v/>
      </c>
    </row>
    <row r="3">
      <c r="A3" t="inlineStr">
        <is>
          <t>Feb</t>
        </is>
      </c>
      <c r="B3" t="n">
        <v>2</v>
      </c>
      <c r="C3" s="7">
        <f>SUMIFS(Transactions!E2:E444,Transactions!B2:B444,"Income",Transactions!G2:G444,B3)</f>
        <v/>
      </c>
      <c r="D3" s="7">
        <f>SUMIFS(Transactions!E2:E444,Transactions!B2:B444,"Expense",Transactions!G2:G444,B3)</f>
        <v/>
      </c>
      <c r="E3" s="7">
        <f>C3-D3</f>
        <v/>
      </c>
      <c r="F3" s="11">
        <f>IF(C3=0,0,E3/C3)</f>
        <v/>
      </c>
    </row>
    <row r="4">
      <c r="A4" t="inlineStr">
        <is>
          <t>Mar</t>
        </is>
      </c>
      <c r="B4" t="n">
        <v>3</v>
      </c>
      <c r="C4" s="7">
        <f>SUMIFS(Transactions!E2:E444,Transactions!B2:B444,"Income",Transactions!G2:G444,B4)</f>
        <v/>
      </c>
      <c r="D4" s="7">
        <f>SUMIFS(Transactions!E2:E444,Transactions!B2:B444,"Expense",Transactions!G2:G444,B4)</f>
        <v/>
      </c>
      <c r="E4" s="7">
        <f>C4-D4</f>
        <v/>
      </c>
      <c r="F4" s="11">
        <f>IF(C4=0,0,E4/C4)</f>
        <v/>
      </c>
    </row>
    <row r="5">
      <c r="A5" t="inlineStr">
        <is>
          <t>Apr</t>
        </is>
      </c>
      <c r="B5" t="n">
        <v>4</v>
      </c>
      <c r="C5" s="7">
        <f>SUMIFS(Transactions!E2:E444,Transactions!B2:B444,"Income",Transactions!G2:G444,B5)</f>
        <v/>
      </c>
      <c r="D5" s="7">
        <f>SUMIFS(Transactions!E2:E444,Transactions!B2:B444,"Expense",Transactions!G2:G444,B5)</f>
        <v/>
      </c>
      <c r="E5" s="7">
        <f>C5-D5</f>
        <v/>
      </c>
      <c r="F5" s="11">
        <f>IF(C5=0,0,E5/C5)</f>
        <v/>
      </c>
    </row>
    <row r="6">
      <c r="A6" t="inlineStr">
        <is>
          <t>May</t>
        </is>
      </c>
      <c r="B6" t="n">
        <v>5</v>
      </c>
      <c r="C6" s="7">
        <f>SUMIFS(Transactions!E2:E444,Transactions!B2:B444,"Income",Transactions!G2:G444,B6)</f>
        <v/>
      </c>
      <c r="D6" s="7">
        <f>SUMIFS(Transactions!E2:E444,Transactions!B2:B444,"Expense",Transactions!G2:G444,B6)</f>
        <v/>
      </c>
      <c r="E6" s="7">
        <f>C6-D6</f>
        <v/>
      </c>
      <c r="F6" s="11">
        <f>IF(C6=0,0,E6/C6)</f>
        <v/>
      </c>
    </row>
    <row r="7">
      <c r="A7" t="inlineStr">
        <is>
          <t>Jun</t>
        </is>
      </c>
      <c r="B7" t="n">
        <v>6</v>
      </c>
      <c r="C7" s="7">
        <f>SUMIFS(Transactions!E2:E444,Transactions!B2:B444,"Income",Transactions!G2:G444,B7)</f>
        <v/>
      </c>
      <c r="D7" s="7">
        <f>SUMIFS(Transactions!E2:E444,Transactions!B2:B444,"Expense",Transactions!G2:G444,B7)</f>
        <v/>
      </c>
      <c r="E7" s="7">
        <f>C7-D7</f>
        <v/>
      </c>
      <c r="F7" s="11">
        <f>IF(C7=0,0,E7/C7)</f>
        <v/>
      </c>
    </row>
    <row r="8">
      <c r="A8" t="inlineStr">
        <is>
          <t>Jul</t>
        </is>
      </c>
      <c r="B8" t="n">
        <v>7</v>
      </c>
      <c r="C8" s="7">
        <f>SUMIFS(Transactions!E2:E444,Transactions!B2:B444,"Income",Transactions!G2:G444,B8)</f>
        <v/>
      </c>
      <c r="D8" s="7">
        <f>SUMIFS(Transactions!E2:E444,Transactions!B2:B444,"Expense",Transactions!G2:G444,B8)</f>
        <v/>
      </c>
      <c r="E8" s="7">
        <f>C8-D8</f>
        <v/>
      </c>
      <c r="F8" s="11">
        <f>IF(C8=0,0,E8/C8)</f>
        <v/>
      </c>
    </row>
    <row r="9">
      <c r="A9" t="inlineStr">
        <is>
          <t>Aug</t>
        </is>
      </c>
      <c r="B9" t="n">
        <v>8</v>
      </c>
      <c r="C9" s="7">
        <f>SUMIFS(Transactions!E2:E444,Transactions!B2:B444,"Income",Transactions!G2:G444,B9)</f>
        <v/>
      </c>
      <c r="D9" s="7">
        <f>SUMIFS(Transactions!E2:E444,Transactions!B2:B444,"Expense",Transactions!G2:G444,B9)</f>
        <v/>
      </c>
      <c r="E9" s="7">
        <f>C9-D9</f>
        <v/>
      </c>
      <c r="F9" s="11">
        <f>IF(C9=0,0,E9/C9)</f>
        <v/>
      </c>
    </row>
    <row r="10">
      <c r="A10" t="inlineStr">
        <is>
          <t>Sep</t>
        </is>
      </c>
      <c r="B10" t="n">
        <v>9</v>
      </c>
      <c r="C10" s="7">
        <f>SUMIFS(Transactions!E2:E444,Transactions!B2:B444,"Income",Transactions!G2:G444,B10)</f>
        <v/>
      </c>
      <c r="D10" s="7">
        <f>SUMIFS(Transactions!E2:E444,Transactions!B2:B444,"Expense",Transactions!G2:G444,B10)</f>
        <v/>
      </c>
      <c r="E10" s="7">
        <f>C10-D10</f>
        <v/>
      </c>
      <c r="F10" s="11">
        <f>IF(C10=0,0,E10/C10)</f>
        <v/>
      </c>
    </row>
    <row r="11">
      <c r="A11" t="inlineStr">
        <is>
          <t>Oct</t>
        </is>
      </c>
      <c r="B11" t="n">
        <v>10</v>
      </c>
      <c r="C11" s="7">
        <f>SUMIFS(Transactions!E2:E444,Transactions!B2:B444,"Income",Transactions!G2:G444,B11)</f>
        <v/>
      </c>
      <c r="D11" s="7">
        <f>SUMIFS(Transactions!E2:E444,Transactions!B2:B444,"Expense",Transactions!G2:G444,B11)</f>
        <v/>
      </c>
      <c r="E11" s="7">
        <f>C11-D11</f>
        <v/>
      </c>
      <c r="F11" s="11">
        <f>IF(C11=0,0,E11/C11)</f>
        <v/>
      </c>
    </row>
    <row r="12">
      <c r="A12" t="inlineStr">
        <is>
          <t>Nov</t>
        </is>
      </c>
      <c r="B12" t="n">
        <v>11</v>
      </c>
      <c r="C12" s="7">
        <f>SUMIFS(Transactions!E2:E444,Transactions!B2:B444,"Income",Transactions!G2:G444,B12)</f>
        <v/>
      </c>
      <c r="D12" s="7">
        <f>SUMIFS(Transactions!E2:E444,Transactions!B2:B444,"Expense",Transactions!G2:G444,B12)</f>
        <v/>
      </c>
      <c r="E12" s="7">
        <f>C12-D12</f>
        <v/>
      </c>
      <c r="F12" s="11">
        <f>IF(C12=0,0,E12/C12)</f>
        <v/>
      </c>
    </row>
    <row r="13">
      <c r="A13" t="inlineStr">
        <is>
          <t>Dec</t>
        </is>
      </c>
      <c r="B13" t="n">
        <v>12</v>
      </c>
      <c r="C13" s="7">
        <f>SUMIFS(Transactions!E2:E444,Transactions!B2:B444,"Income",Transactions!G2:G444,B13)</f>
        <v/>
      </c>
      <c r="D13" s="7">
        <f>SUMIFS(Transactions!E2:E444,Transactions!B2:B444,"Expense",Transactions!G2:G444,B13)</f>
        <v/>
      </c>
      <c r="E13" s="7">
        <f>C13-D13</f>
        <v/>
      </c>
      <c r="F13" s="11">
        <f>IF(C13=0,0,E13/C13)</f>
        <v/>
      </c>
    </row>
    <row r="14">
      <c r="A14" s="9" t="inlineStr">
        <is>
          <t>Total / Avg</t>
        </is>
      </c>
      <c r="C14" s="10">
        <f>SUM(C2:C13)</f>
        <v/>
      </c>
      <c r="D14" s="10">
        <f>SUM(D2:D13)</f>
        <v/>
      </c>
      <c r="E14" s="10">
        <f>SUM(E2:E13)</f>
        <v/>
      </c>
      <c r="F14" s="12">
        <f>AVERAGE(F2:F13)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6" customWidth="1" min="5" max="5"/>
  </cols>
  <sheetData>
    <row r="1">
      <c r="A1" s="5" t="inlineStr">
        <is>
          <t>Category</t>
        </is>
      </c>
      <c r="B1" s="5" t="inlineStr">
        <is>
          <t>Annual Budget</t>
        </is>
      </c>
      <c r="C1" s="5" t="inlineStr">
        <is>
          <t>Actual Spent</t>
        </is>
      </c>
      <c r="D1" s="5" t="inlineStr">
        <is>
          <t>Variance</t>
        </is>
      </c>
      <c r="E1" s="5" t="inlineStr">
        <is>
          <t>% of Budget Used</t>
        </is>
      </c>
    </row>
    <row r="2">
      <c r="A2" t="inlineStr">
        <is>
          <t>Food &amp; Snacks</t>
        </is>
      </c>
      <c r="B2" s="7">
        <f>Budget!C2</f>
        <v/>
      </c>
      <c r="C2" s="7">
        <f>SUMIFS(Transactions!E2:E444,Transactions!B2:B444,"Expense",Transactions!C2:C444,A2)</f>
        <v/>
      </c>
      <c r="D2" s="7">
        <f>B2-C2</f>
        <v/>
      </c>
      <c r="E2" s="11">
        <f>IF(B2=0,0,C2/B2)</f>
        <v/>
      </c>
    </row>
    <row r="3">
      <c r="A3" t="inlineStr">
        <is>
          <t>Transportation</t>
        </is>
      </c>
      <c r="B3" s="7">
        <f>Budget!C3</f>
        <v/>
      </c>
      <c r="C3" s="7">
        <f>SUMIFS(Transactions!E2:E444,Transactions!B2:B444,"Expense",Transactions!C2:C444,A3)</f>
        <v/>
      </c>
      <c r="D3" s="7">
        <f>B3-C3</f>
        <v/>
      </c>
      <c r="E3" s="11">
        <f>IF(B3=0,0,C3/B3)</f>
        <v/>
      </c>
    </row>
    <row r="4">
      <c r="A4" t="inlineStr">
        <is>
          <t>Mobile &amp; Internet</t>
        </is>
      </c>
      <c r="B4" s="7">
        <f>Budget!C4</f>
        <v/>
      </c>
      <c r="C4" s="7">
        <f>SUMIFS(Transactions!E2:E444,Transactions!B2:B444,"Expense",Transactions!C2:C444,A4)</f>
        <v/>
      </c>
      <c r="D4" s="7">
        <f>B4-C4</f>
        <v/>
      </c>
      <c r="E4" s="11">
        <f>IF(B4=0,0,C4/B4)</f>
        <v/>
      </c>
    </row>
    <row r="5">
      <c r="A5" t="inlineStr">
        <is>
          <t>Education</t>
        </is>
      </c>
      <c r="B5" s="7">
        <f>Budget!C5</f>
        <v/>
      </c>
      <c r="C5" s="7">
        <f>SUMIFS(Transactions!E2:E444,Transactions!B2:B444,"Expense",Transactions!C2:C444,A5)</f>
        <v/>
      </c>
      <c r="D5" s="7">
        <f>B5-C5</f>
        <v/>
      </c>
      <c r="E5" s="11">
        <f>IF(B5=0,0,C5/B5)</f>
        <v/>
      </c>
    </row>
    <row r="6">
      <c r="A6" t="inlineStr">
        <is>
          <t>Entertainment</t>
        </is>
      </c>
      <c r="B6" s="7">
        <f>Budget!C6</f>
        <v/>
      </c>
      <c r="C6" s="7">
        <f>SUMIFS(Transactions!E2:E444,Transactions!B2:B444,"Expense",Transactions!C2:C444,A6)</f>
        <v/>
      </c>
      <c r="D6" s="7">
        <f>B6-C6</f>
        <v/>
      </c>
      <c r="E6" s="11">
        <f>IF(B6=0,0,C6/B6)</f>
        <v/>
      </c>
    </row>
    <row r="7">
      <c r="A7" t="inlineStr">
        <is>
          <t>Subscriptions</t>
        </is>
      </c>
      <c r="B7" s="7">
        <f>Budget!C7</f>
        <v/>
      </c>
      <c r="C7" s="7">
        <f>SUMIFS(Transactions!E2:E444,Transactions!B2:B444,"Expense",Transactions!C2:C444,A7)</f>
        <v/>
      </c>
      <c r="D7" s="7">
        <f>B7-C7</f>
        <v/>
      </c>
      <c r="E7" s="11">
        <f>IF(B7=0,0,C7/B7)</f>
        <v/>
      </c>
    </row>
    <row r="8">
      <c r="A8" t="inlineStr">
        <is>
          <t>Personal Care</t>
        </is>
      </c>
      <c r="B8" s="7">
        <f>Budget!C8</f>
        <v/>
      </c>
      <c r="C8" s="7">
        <f>SUMIFS(Transactions!E2:E444,Transactions!B2:B444,"Expense",Transactions!C2:C444,A8)</f>
        <v/>
      </c>
      <c r="D8" s="7">
        <f>B8-C8</f>
        <v/>
      </c>
      <c r="E8" s="11">
        <f>IF(B8=0,0,C8/B8)</f>
        <v/>
      </c>
    </row>
    <row r="9">
      <c r="A9" t="inlineStr">
        <is>
          <t>Clothing</t>
        </is>
      </c>
      <c r="B9" s="7">
        <f>Budget!C9</f>
        <v/>
      </c>
      <c r="C9" s="7">
        <f>SUMIFS(Transactions!E2:E444,Transactions!B2:B444,"Expense",Transactions!C2:C444,A9)</f>
        <v/>
      </c>
      <c r="D9" s="7">
        <f>B9-C9</f>
        <v/>
      </c>
      <c r="E9" s="11">
        <f>IF(B9=0,0,C9/B9)</f>
        <v/>
      </c>
    </row>
    <row r="10">
      <c r="A10" t="inlineStr">
        <is>
          <t>Savings</t>
        </is>
      </c>
      <c r="B10" s="7">
        <f>Budget!C10</f>
        <v/>
      </c>
      <c r="C10" s="7">
        <f>SUMIFS(Transactions!E2:E444,Transactions!B2:B444,"Expense",Transactions!C2:C444,A10)</f>
        <v/>
      </c>
      <c r="D10" s="7">
        <f>B10-C10</f>
        <v/>
      </c>
      <c r="E10" s="11">
        <f>IF(B10=0,0,C10/B10)</f>
        <v/>
      </c>
    </row>
    <row r="11">
      <c r="A11" t="inlineStr">
        <is>
          <t>Miscellaneous</t>
        </is>
      </c>
      <c r="B11" s="7">
        <f>Budget!C11</f>
        <v/>
      </c>
      <c r="C11" s="7">
        <f>SUMIFS(Transactions!E2:E444,Transactions!B2:B444,"Expense",Transactions!C2:C444,A11)</f>
        <v/>
      </c>
      <c r="D11" s="7">
        <f>B11-C11</f>
        <v/>
      </c>
      <c r="E11" s="11">
        <f>IF(B11=0,0,C11/B11)</f>
        <v/>
      </c>
    </row>
    <row r="12">
      <c r="A12" s="9" t="inlineStr">
        <is>
          <t>Total</t>
        </is>
      </c>
      <c r="B12" s="10">
        <f>SUM(B2:B11)</f>
        <v/>
      </c>
      <c r="C12" s="10">
        <f>SUM(C2:C11)</f>
        <v/>
      </c>
      <c r="D12" s="10">
        <f>SUM(D2:D11)</f>
        <v/>
      </c>
      <c r="E12" s="12">
        <f>IF(B12=0,0,C12/B12)</f>
        <v/>
      </c>
    </row>
  </sheetData>
  <conditionalFormatting sqref="E2:E11">
    <cfRule type="cellIs" priority="1" operator="greaterThan" dxfId="0">
      <formula>1</formula>
    </cfRule>
    <cfRule type="cellIs" priority="2" operator="between" dxfId="1">
      <formula>0.9</formula>
      <formula>1</formula>
    </cfRule>
    <cfRule type="cellIs" priority="3" operator="lessThan" dxfId="2">
      <formula>0.9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2026-06-15T19:50:27Z</dcterms:created>
  <dcterms:modified xsi:type="dcterms:W3CDTF">2026-06-15T19:50:28Z</dcterms:modified>
</cp:coreProperties>
</file>